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ayer Review" sheetId="2" state="visible" r:id="rId2"/>
    <sheet xmlns:r="http://schemas.openxmlformats.org/officeDocument/2006/relationships" name="Service Collections" sheetId="3" state="visible" r:id="rId3"/>
  </sheets>
  <definedNames>
    <definedName name="_xlnm._FilterDatabase" localSheetId="1" hidden="1">'Prayer Review'!$A$1:$I$562</definedName>
    <definedName name="_xlnm.Print_Titles" localSheetId="1">'Prayer Review'!$1:$1</definedName>
    <definedName name="_xlnm._FilterDatabase" localSheetId="2" hidden="1">'Service Collections'!$A$4:$F$7</definedName>
  </definedNames>
  <calcPr calcId="124519" calcMode="auto" fullCalcOnLoad="1" forceFullCalc="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20"/>
    </font>
    <font>
      <name val="Arial"/>
      <color rgb="00183B35"/>
      <sz val="12"/>
    </font>
    <font>
      <name val="Arial"/>
      <b val="1"/>
      <color rgb="00183B35"/>
      <sz val="13"/>
    </font>
    <font>
      <name val="Arial"/>
      <b val="1"/>
      <color rgb="00183B35"/>
      <sz val="11"/>
    </font>
    <font>
      <name val="Arial"/>
      <color rgb="0024332F"/>
      <sz val="11"/>
    </font>
    <font>
      <name val="Arial"/>
      <b val="1"/>
      <color rgb="00FFFFFF"/>
      <sz val="10"/>
    </font>
    <font>
      <name val="Arial"/>
      <color rgb="0024332F"/>
      <sz val="10"/>
    </font>
    <font>
      <name val="Arial"/>
      <b val="1"/>
      <color rgb="00183B35"/>
      <sz val="10"/>
    </font>
    <font>
      <name val="Arial"/>
      <color rgb="0024332F"/>
      <sz val="13"/>
    </font>
    <font>
      <name val="Arial"/>
      <color rgb="00176B87"/>
      <sz val="10"/>
      <u val="single"/>
    </font>
    <font>
      <name val="Arial"/>
      <b val="1"/>
      <color rgb="00FFFFFF"/>
      <sz val="18"/>
    </font>
    <font>
      <name val="Arial"/>
      <color rgb="00183B35"/>
      <sz val="11"/>
    </font>
  </fonts>
  <fills count="7">
    <fill>
      <patternFill/>
    </fill>
    <fill>
      <patternFill patternType="gray125"/>
    </fill>
    <fill>
      <patternFill patternType="solid">
        <fgColor rgb="00183B35"/>
      </patternFill>
    </fill>
    <fill>
      <patternFill patternType="solid">
        <fgColor rgb="00EAF2ED"/>
      </patternFill>
    </fill>
    <fill>
      <patternFill patternType="solid">
        <fgColor rgb="0034685C"/>
      </patternFill>
    </fill>
    <fill>
      <patternFill patternType="solid">
        <fgColor rgb="00F6F9F7"/>
      </patternFill>
    </fill>
    <fill>
      <patternFill patternType="solid">
        <fgColor rgb="00FFF8E8"/>
      </patternFill>
    </fill>
  </fills>
  <borders count="2">
    <border>
      <left/>
      <right/>
      <top/>
      <bottom/>
      <diagonal/>
    </border>
    <border>
      <bottom style="hair">
        <color rgb="00D7E1D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center" wrapText="1"/>
    </xf>
    <xf numFmtId="0" fontId="8" fillId="0" borderId="1" applyAlignment="1" pivotButton="0" quotePrefix="0" xfId="0">
      <alignment vertical="top" wrapText="1"/>
    </xf>
    <xf numFmtId="0" fontId="7" fillId="5" borderId="1" applyAlignment="1" pivotButton="0" quotePrefix="0" xfId="0">
      <alignment vertical="top" wrapText="1"/>
    </xf>
    <xf numFmtId="0" fontId="9" fillId="5" borderId="1" applyAlignment="1" pivotButton="0" quotePrefix="0" xfId="0">
      <alignment horizontal="right" vertical="top" wrapText="1" readingOrder="2"/>
    </xf>
    <xf numFmtId="0" fontId="7" fillId="6" borderId="1" applyAlignment="1" pivotButton="0" quotePrefix="0" xfId="0">
      <alignment vertical="top" wrapText="1"/>
    </xf>
    <xf numFmtId="0" fontId="10" fillId="5" borderId="1" applyAlignment="1" pivotButton="0" quotePrefix="0" xfId="0">
      <alignment vertical="top" wrapText="1"/>
    </xf>
    <xf numFmtId="0" fontId="7" fillId="0" borderId="1" applyAlignment="1" pivotButton="0" quotePrefix="0" xfId="0">
      <alignment vertical="top" wrapText="1"/>
    </xf>
    <xf numFmtId="0" fontId="9" fillId="0" borderId="1" applyAlignment="1" pivotButton="0" quotePrefix="0" xfId="0">
      <alignment horizontal="right" vertical="top" wrapText="1" readingOrder="2"/>
    </xf>
    <xf numFmtId="0" fontId="10" fillId="0" borderId="1" applyAlignment="1" pivotButton="0" quotePrefix="0" xfId="0">
      <alignment vertical="top" wrapText="1"/>
    </xf>
    <xf numFmtId="0" fontId="11" fillId="2" borderId="0" applyAlignment="1" pivotButton="0" quotePrefix="0" xfId="0">
      <alignment vertical="center"/>
    </xf>
    <xf numFmtId="0" fontId="12" fillId="3" borderId="0" applyAlignment="1" pivotButton="0" quotePrefix="0" xfId="0">
      <alignment vertical="center"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efaria.org/Siddur_Ashkenaz,_Weekday,_Shacharit,_Preparatory_Prayers,_Modeh_Ani" TargetMode="External" Id="rId1"/><Relationship Type="http://schemas.openxmlformats.org/officeDocument/2006/relationships/hyperlink" Target="https://www.sefaria.org/Siddur_Ashkenaz,_Weekday,_Shacharit,_Blessings_of_the_Shema,_Shema" TargetMode="External" Id="rId2"/><Relationship Type="http://schemas.openxmlformats.org/officeDocument/2006/relationships/hyperlink" Target="https://www.sefaria.org/Siddur_Ashkenaz,_Weekday,_Shacharit,_Preparatory_Prayers,_Asher_Yatzar" TargetMode="External" Id="rId3"/><Relationship Type="http://schemas.openxmlformats.org/officeDocument/2006/relationships/hyperlink" Target="https://www.sefaria.org/Psalms_1" TargetMode="External" Id="rId4"/><Relationship Type="http://schemas.openxmlformats.org/officeDocument/2006/relationships/hyperlink" Target="https://www.sefaria.org/Psalms_2" TargetMode="External" Id="rId5"/><Relationship Type="http://schemas.openxmlformats.org/officeDocument/2006/relationships/hyperlink" Target="https://www.sefaria.org/Psalms_3" TargetMode="External" Id="rId6"/><Relationship Type="http://schemas.openxmlformats.org/officeDocument/2006/relationships/hyperlink" Target="https://www.sefaria.org/Psalms_4" TargetMode="External" Id="rId7"/><Relationship Type="http://schemas.openxmlformats.org/officeDocument/2006/relationships/hyperlink" Target="https://www.sefaria.org/Psalms_5" TargetMode="External" Id="rId8"/><Relationship Type="http://schemas.openxmlformats.org/officeDocument/2006/relationships/hyperlink" Target="https://www.sefaria.org/Psalms_6" TargetMode="External" Id="rId9"/><Relationship Type="http://schemas.openxmlformats.org/officeDocument/2006/relationships/hyperlink" Target="https://www.sefaria.org/Psalms_7" TargetMode="External" Id="rId10"/><Relationship Type="http://schemas.openxmlformats.org/officeDocument/2006/relationships/hyperlink" Target="https://www.sefaria.org/Psalms_8" TargetMode="External" Id="rId11"/><Relationship Type="http://schemas.openxmlformats.org/officeDocument/2006/relationships/hyperlink" Target="https://www.sefaria.org/Psalms_9" TargetMode="External" Id="rId12"/><Relationship Type="http://schemas.openxmlformats.org/officeDocument/2006/relationships/hyperlink" Target="https://www.sefaria.org/Psalms_10" TargetMode="External" Id="rId13"/><Relationship Type="http://schemas.openxmlformats.org/officeDocument/2006/relationships/hyperlink" Target="https://www.sefaria.org/Psalms_11" TargetMode="External" Id="rId14"/><Relationship Type="http://schemas.openxmlformats.org/officeDocument/2006/relationships/hyperlink" Target="https://www.sefaria.org/Psalms_12" TargetMode="External" Id="rId15"/><Relationship Type="http://schemas.openxmlformats.org/officeDocument/2006/relationships/hyperlink" Target="https://www.sefaria.org/Psalms_13" TargetMode="External" Id="rId16"/><Relationship Type="http://schemas.openxmlformats.org/officeDocument/2006/relationships/hyperlink" Target="https://www.sefaria.org/Psalms_14" TargetMode="External" Id="rId17"/><Relationship Type="http://schemas.openxmlformats.org/officeDocument/2006/relationships/hyperlink" Target="https://www.sefaria.org/Psalms_15" TargetMode="External" Id="rId18"/><Relationship Type="http://schemas.openxmlformats.org/officeDocument/2006/relationships/hyperlink" Target="https://www.sefaria.org/Psalms_16" TargetMode="External" Id="rId19"/><Relationship Type="http://schemas.openxmlformats.org/officeDocument/2006/relationships/hyperlink" Target="https://www.sefaria.org/Psalms_17" TargetMode="External" Id="rId20"/><Relationship Type="http://schemas.openxmlformats.org/officeDocument/2006/relationships/hyperlink" Target="https://www.sefaria.org/Psalms_18" TargetMode="External" Id="rId21"/><Relationship Type="http://schemas.openxmlformats.org/officeDocument/2006/relationships/hyperlink" Target="https://www.sefaria.org/Psalms_19" TargetMode="External" Id="rId22"/><Relationship Type="http://schemas.openxmlformats.org/officeDocument/2006/relationships/hyperlink" Target="https://www.sefaria.org/Psalms_20" TargetMode="External" Id="rId23"/><Relationship Type="http://schemas.openxmlformats.org/officeDocument/2006/relationships/hyperlink" Target="https://www.sefaria.org/Psalms_21" TargetMode="External" Id="rId24"/><Relationship Type="http://schemas.openxmlformats.org/officeDocument/2006/relationships/hyperlink" Target="https://www.sefaria.org/Psalms_22" TargetMode="External" Id="rId25"/><Relationship Type="http://schemas.openxmlformats.org/officeDocument/2006/relationships/hyperlink" Target="https://www.sefaria.org/Psalms_23" TargetMode="External" Id="rId26"/><Relationship Type="http://schemas.openxmlformats.org/officeDocument/2006/relationships/hyperlink" Target="https://www.sefaria.org/Psalms_24" TargetMode="External" Id="rId27"/><Relationship Type="http://schemas.openxmlformats.org/officeDocument/2006/relationships/hyperlink" Target="https://www.sefaria.org/Psalms_25" TargetMode="External" Id="rId28"/><Relationship Type="http://schemas.openxmlformats.org/officeDocument/2006/relationships/hyperlink" Target="https://www.sefaria.org/Psalms_26" TargetMode="External" Id="rId29"/><Relationship Type="http://schemas.openxmlformats.org/officeDocument/2006/relationships/hyperlink" Target="https://www.sefaria.org/Psalms_27" TargetMode="External" Id="rId30"/><Relationship Type="http://schemas.openxmlformats.org/officeDocument/2006/relationships/hyperlink" Target="https://www.sefaria.org/Psalms_28" TargetMode="External" Id="rId31"/><Relationship Type="http://schemas.openxmlformats.org/officeDocument/2006/relationships/hyperlink" Target="https://www.sefaria.org/Psalms_29" TargetMode="External" Id="rId32"/><Relationship Type="http://schemas.openxmlformats.org/officeDocument/2006/relationships/hyperlink" Target="https://www.sefaria.org/Psalms_30" TargetMode="External" Id="rId33"/><Relationship Type="http://schemas.openxmlformats.org/officeDocument/2006/relationships/hyperlink" Target="https://www.sefaria.org/Psalms_31" TargetMode="External" Id="rId34"/><Relationship Type="http://schemas.openxmlformats.org/officeDocument/2006/relationships/hyperlink" Target="https://www.sefaria.org/Psalms_32" TargetMode="External" Id="rId35"/><Relationship Type="http://schemas.openxmlformats.org/officeDocument/2006/relationships/hyperlink" Target="https://www.sefaria.org/Psalms_33" TargetMode="External" Id="rId36"/><Relationship Type="http://schemas.openxmlformats.org/officeDocument/2006/relationships/hyperlink" Target="https://www.sefaria.org/Psalms_34" TargetMode="External" Id="rId37"/><Relationship Type="http://schemas.openxmlformats.org/officeDocument/2006/relationships/hyperlink" Target="https://www.sefaria.org/Psalms_35" TargetMode="External" Id="rId38"/><Relationship Type="http://schemas.openxmlformats.org/officeDocument/2006/relationships/hyperlink" Target="https://www.sefaria.org/Psalms_36" TargetMode="External" Id="rId39"/><Relationship Type="http://schemas.openxmlformats.org/officeDocument/2006/relationships/hyperlink" Target="https://www.sefaria.org/Psalms_37" TargetMode="External" Id="rId40"/><Relationship Type="http://schemas.openxmlformats.org/officeDocument/2006/relationships/hyperlink" Target="https://www.sefaria.org/Psalms_38" TargetMode="External" Id="rId41"/><Relationship Type="http://schemas.openxmlformats.org/officeDocument/2006/relationships/hyperlink" Target="https://www.sefaria.org/Psalms_39" TargetMode="External" Id="rId42"/><Relationship Type="http://schemas.openxmlformats.org/officeDocument/2006/relationships/hyperlink" Target="https://www.sefaria.org/Psalms_40" TargetMode="External" Id="rId43"/><Relationship Type="http://schemas.openxmlformats.org/officeDocument/2006/relationships/hyperlink" Target="https://www.sefaria.org/Psalms_41" TargetMode="External" Id="rId44"/><Relationship Type="http://schemas.openxmlformats.org/officeDocument/2006/relationships/hyperlink" Target="https://www.sefaria.org/Psalms_42" TargetMode="External" Id="rId45"/><Relationship Type="http://schemas.openxmlformats.org/officeDocument/2006/relationships/hyperlink" Target="https://www.sefaria.org/Psalms_43" TargetMode="External" Id="rId46"/><Relationship Type="http://schemas.openxmlformats.org/officeDocument/2006/relationships/hyperlink" Target="https://www.sefaria.org/Psalms_44" TargetMode="External" Id="rId47"/><Relationship Type="http://schemas.openxmlformats.org/officeDocument/2006/relationships/hyperlink" Target="https://www.sefaria.org/Psalms_45" TargetMode="External" Id="rId48"/><Relationship Type="http://schemas.openxmlformats.org/officeDocument/2006/relationships/hyperlink" Target="https://www.sefaria.org/Psalms_46" TargetMode="External" Id="rId49"/><Relationship Type="http://schemas.openxmlformats.org/officeDocument/2006/relationships/hyperlink" Target="https://www.sefaria.org/Psalms_47" TargetMode="External" Id="rId50"/><Relationship Type="http://schemas.openxmlformats.org/officeDocument/2006/relationships/hyperlink" Target="https://www.sefaria.org/Psalms_48" TargetMode="External" Id="rId51"/><Relationship Type="http://schemas.openxmlformats.org/officeDocument/2006/relationships/hyperlink" Target="https://www.sefaria.org/Psalms_49" TargetMode="External" Id="rId52"/><Relationship Type="http://schemas.openxmlformats.org/officeDocument/2006/relationships/hyperlink" Target="https://www.sefaria.org/Psalms_50" TargetMode="External" Id="rId53"/><Relationship Type="http://schemas.openxmlformats.org/officeDocument/2006/relationships/hyperlink" Target="https://www.sefaria.org/Psalms_51" TargetMode="External" Id="rId54"/><Relationship Type="http://schemas.openxmlformats.org/officeDocument/2006/relationships/hyperlink" Target="https://www.sefaria.org/Psalms_52" TargetMode="External" Id="rId55"/><Relationship Type="http://schemas.openxmlformats.org/officeDocument/2006/relationships/hyperlink" Target="https://www.sefaria.org/Psalms_53" TargetMode="External" Id="rId56"/><Relationship Type="http://schemas.openxmlformats.org/officeDocument/2006/relationships/hyperlink" Target="https://www.sefaria.org/Psalms_54" TargetMode="External" Id="rId57"/><Relationship Type="http://schemas.openxmlformats.org/officeDocument/2006/relationships/hyperlink" Target="https://www.sefaria.org/Psalms_55" TargetMode="External" Id="rId58"/><Relationship Type="http://schemas.openxmlformats.org/officeDocument/2006/relationships/hyperlink" Target="https://www.sefaria.org/Psalms_56" TargetMode="External" Id="rId59"/><Relationship Type="http://schemas.openxmlformats.org/officeDocument/2006/relationships/hyperlink" Target="https://www.sefaria.org/Psalms_57" TargetMode="External" Id="rId60"/><Relationship Type="http://schemas.openxmlformats.org/officeDocument/2006/relationships/hyperlink" Target="https://www.sefaria.org/Psalms_58" TargetMode="External" Id="rId61"/><Relationship Type="http://schemas.openxmlformats.org/officeDocument/2006/relationships/hyperlink" Target="https://www.sefaria.org/Psalms_59" TargetMode="External" Id="rId62"/><Relationship Type="http://schemas.openxmlformats.org/officeDocument/2006/relationships/hyperlink" Target="https://www.sefaria.org/Psalms_60" TargetMode="External" Id="rId63"/><Relationship Type="http://schemas.openxmlformats.org/officeDocument/2006/relationships/hyperlink" Target="https://www.sefaria.org/Psalms_61" TargetMode="External" Id="rId64"/><Relationship Type="http://schemas.openxmlformats.org/officeDocument/2006/relationships/hyperlink" Target="https://www.sefaria.org/Psalms_62" TargetMode="External" Id="rId65"/><Relationship Type="http://schemas.openxmlformats.org/officeDocument/2006/relationships/hyperlink" Target="https://www.sefaria.org/Psalms_63" TargetMode="External" Id="rId66"/><Relationship Type="http://schemas.openxmlformats.org/officeDocument/2006/relationships/hyperlink" Target="https://www.sefaria.org/Psalms_64" TargetMode="External" Id="rId67"/><Relationship Type="http://schemas.openxmlformats.org/officeDocument/2006/relationships/hyperlink" Target="https://www.sefaria.org/Psalms_65" TargetMode="External" Id="rId68"/><Relationship Type="http://schemas.openxmlformats.org/officeDocument/2006/relationships/hyperlink" Target="https://www.sefaria.org/Psalms_66" TargetMode="External" Id="rId69"/><Relationship Type="http://schemas.openxmlformats.org/officeDocument/2006/relationships/hyperlink" Target="https://www.sefaria.org/Psalms_67" TargetMode="External" Id="rId70"/><Relationship Type="http://schemas.openxmlformats.org/officeDocument/2006/relationships/hyperlink" Target="https://www.sefaria.org/Psalms_68" TargetMode="External" Id="rId71"/><Relationship Type="http://schemas.openxmlformats.org/officeDocument/2006/relationships/hyperlink" Target="https://www.sefaria.org/Psalms_69" TargetMode="External" Id="rId72"/><Relationship Type="http://schemas.openxmlformats.org/officeDocument/2006/relationships/hyperlink" Target="https://www.sefaria.org/Psalms_70" TargetMode="External" Id="rId73"/><Relationship Type="http://schemas.openxmlformats.org/officeDocument/2006/relationships/hyperlink" Target="https://www.sefaria.org/Psalms_71" TargetMode="External" Id="rId74"/><Relationship Type="http://schemas.openxmlformats.org/officeDocument/2006/relationships/hyperlink" Target="https://www.sefaria.org/Psalms_72" TargetMode="External" Id="rId75"/><Relationship Type="http://schemas.openxmlformats.org/officeDocument/2006/relationships/hyperlink" Target="https://www.sefaria.org/Psalms_73" TargetMode="External" Id="rId76"/><Relationship Type="http://schemas.openxmlformats.org/officeDocument/2006/relationships/hyperlink" Target="https://www.sefaria.org/Psalms_74" TargetMode="External" Id="rId77"/><Relationship Type="http://schemas.openxmlformats.org/officeDocument/2006/relationships/hyperlink" Target="https://www.sefaria.org/Psalms_75" TargetMode="External" Id="rId78"/><Relationship Type="http://schemas.openxmlformats.org/officeDocument/2006/relationships/hyperlink" Target="https://www.sefaria.org/Psalms_76" TargetMode="External" Id="rId79"/><Relationship Type="http://schemas.openxmlformats.org/officeDocument/2006/relationships/hyperlink" Target="https://www.sefaria.org/Psalms_77" TargetMode="External" Id="rId80"/><Relationship Type="http://schemas.openxmlformats.org/officeDocument/2006/relationships/hyperlink" Target="https://www.sefaria.org/Psalms_78" TargetMode="External" Id="rId81"/><Relationship Type="http://schemas.openxmlformats.org/officeDocument/2006/relationships/hyperlink" Target="https://www.sefaria.org/Psalms_79" TargetMode="External" Id="rId82"/><Relationship Type="http://schemas.openxmlformats.org/officeDocument/2006/relationships/hyperlink" Target="https://www.sefaria.org/Psalms_80" TargetMode="External" Id="rId83"/><Relationship Type="http://schemas.openxmlformats.org/officeDocument/2006/relationships/hyperlink" Target="https://www.sefaria.org/Psalms_81" TargetMode="External" Id="rId84"/><Relationship Type="http://schemas.openxmlformats.org/officeDocument/2006/relationships/hyperlink" Target="https://www.sefaria.org/Psalms_82" TargetMode="External" Id="rId85"/><Relationship Type="http://schemas.openxmlformats.org/officeDocument/2006/relationships/hyperlink" Target="https://www.sefaria.org/Psalms_83" TargetMode="External" Id="rId86"/><Relationship Type="http://schemas.openxmlformats.org/officeDocument/2006/relationships/hyperlink" Target="https://www.sefaria.org/Psalms_84" TargetMode="External" Id="rId87"/><Relationship Type="http://schemas.openxmlformats.org/officeDocument/2006/relationships/hyperlink" Target="https://www.sefaria.org/Psalms_85" TargetMode="External" Id="rId88"/><Relationship Type="http://schemas.openxmlformats.org/officeDocument/2006/relationships/hyperlink" Target="https://www.sefaria.org/Psalms_86" TargetMode="External" Id="rId89"/><Relationship Type="http://schemas.openxmlformats.org/officeDocument/2006/relationships/hyperlink" Target="https://www.sefaria.org/Psalms_87" TargetMode="External" Id="rId90"/><Relationship Type="http://schemas.openxmlformats.org/officeDocument/2006/relationships/hyperlink" Target="https://www.sefaria.org/Psalms_88" TargetMode="External" Id="rId91"/><Relationship Type="http://schemas.openxmlformats.org/officeDocument/2006/relationships/hyperlink" Target="https://www.sefaria.org/Psalms_89" TargetMode="External" Id="rId92"/><Relationship Type="http://schemas.openxmlformats.org/officeDocument/2006/relationships/hyperlink" Target="https://www.sefaria.org/Psalms_90" TargetMode="External" Id="rId93"/><Relationship Type="http://schemas.openxmlformats.org/officeDocument/2006/relationships/hyperlink" Target="https://www.sefaria.org/Psalms_91" TargetMode="External" Id="rId94"/><Relationship Type="http://schemas.openxmlformats.org/officeDocument/2006/relationships/hyperlink" Target="https://www.sefaria.org/Psalms_92" TargetMode="External" Id="rId95"/><Relationship Type="http://schemas.openxmlformats.org/officeDocument/2006/relationships/hyperlink" Target="https://www.sefaria.org/Psalms_93" TargetMode="External" Id="rId96"/><Relationship Type="http://schemas.openxmlformats.org/officeDocument/2006/relationships/hyperlink" Target="https://www.sefaria.org/Psalms_94" TargetMode="External" Id="rId97"/><Relationship Type="http://schemas.openxmlformats.org/officeDocument/2006/relationships/hyperlink" Target="https://www.sefaria.org/Psalms_95" TargetMode="External" Id="rId98"/><Relationship Type="http://schemas.openxmlformats.org/officeDocument/2006/relationships/hyperlink" Target="https://www.sefaria.org/Psalms_96" TargetMode="External" Id="rId99"/><Relationship Type="http://schemas.openxmlformats.org/officeDocument/2006/relationships/hyperlink" Target="https://www.sefaria.org/Psalms_97" TargetMode="External" Id="rId100"/><Relationship Type="http://schemas.openxmlformats.org/officeDocument/2006/relationships/hyperlink" Target="https://www.sefaria.org/Psalms_98" TargetMode="External" Id="rId101"/><Relationship Type="http://schemas.openxmlformats.org/officeDocument/2006/relationships/hyperlink" Target="https://www.sefaria.org/Psalms_99" TargetMode="External" Id="rId102"/><Relationship Type="http://schemas.openxmlformats.org/officeDocument/2006/relationships/hyperlink" Target="https://www.sefaria.org/Psalms_100" TargetMode="External" Id="rId103"/><Relationship Type="http://schemas.openxmlformats.org/officeDocument/2006/relationships/hyperlink" Target="https://www.sefaria.org/Psalms_101" TargetMode="External" Id="rId104"/><Relationship Type="http://schemas.openxmlformats.org/officeDocument/2006/relationships/hyperlink" Target="https://www.sefaria.org/Psalms_102" TargetMode="External" Id="rId105"/><Relationship Type="http://schemas.openxmlformats.org/officeDocument/2006/relationships/hyperlink" Target="https://www.sefaria.org/Psalms_103" TargetMode="External" Id="rId106"/><Relationship Type="http://schemas.openxmlformats.org/officeDocument/2006/relationships/hyperlink" Target="https://www.sefaria.org/Psalms_104" TargetMode="External" Id="rId107"/><Relationship Type="http://schemas.openxmlformats.org/officeDocument/2006/relationships/hyperlink" Target="https://www.sefaria.org/Psalms_105" TargetMode="External" Id="rId108"/><Relationship Type="http://schemas.openxmlformats.org/officeDocument/2006/relationships/hyperlink" Target="https://www.sefaria.org/Psalms_106" TargetMode="External" Id="rId109"/><Relationship Type="http://schemas.openxmlformats.org/officeDocument/2006/relationships/hyperlink" Target="https://www.sefaria.org/Psalms_107" TargetMode="External" Id="rId110"/><Relationship Type="http://schemas.openxmlformats.org/officeDocument/2006/relationships/hyperlink" Target="https://www.sefaria.org/Psalms_108" TargetMode="External" Id="rId111"/><Relationship Type="http://schemas.openxmlformats.org/officeDocument/2006/relationships/hyperlink" Target="https://www.sefaria.org/Psalms_109" TargetMode="External" Id="rId112"/><Relationship Type="http://schemas.openxmlformats.org/officeDocument/2006/relationships/hyperlink" Target="https://www.sefaria.org/Psalms_110" TargetMode="External" Id="rId113"/><Relationship Type="http://schemas.openxmlformats.org/officeDocument/2006/relationships/hyperlink" Target="https://www.sefaria.org/Psalms_111" TargetMode="External" Id="rId114"/><Relationship Type="http://schemas.openxmlformats.org/officeDocument/2006/relationships/hyperlink" Target="https://www.sefaria.org/Psalms_112" TargetMode="External" Id="rId115"/><Relationship Type="http://schemas.openxmlformats.org/officeDocument/2006/relationships/hyperlink" Target="https://www.sefaria.org/Psalms_113" TargetMode="External" Id="rId116"/><Relationship Type="http://schemas.openxmlformats.org/officeDocument/2006/relationships/hyperlink" Target="https://www.sefaria.org/Psalms_114" TargetMode="External" Id="rId117"/><Relationship Type="http://schemas.openxmlformats.org/officeDocument/2006/relationships/hyperlink" Target="https://www.sefaria.org/Psalms_115" TargetMode="External" Id="rId118"/><Relationship Type="http://schemas.openxmlformats.org/officeDocument/2006/relationships/hyperlink" Target="https://www.sefaria.org/Psalms_116" TargetMode="External" Id="rId119"/><Relationship Type="http://schemas.openxmlformats.org/officeDocument/2006/relationships/hyperlink" Target="https://www.sefaria.org/Psalms_117" TargetMode="External" Id="rId120"/><Relationship Type="http://schemas.openxmlformats.org/officeDocument/2006/relationships/hyperlink" Target="https://www.sefaria.org/Psalms_118" TargetMode="External" Id="rId121"/><Relationship Type="http://schemas.openxmlformats.org/officeDocument/2006/relationships/hyperlink" Target="https://www.sefaria.org/Psalms_119" TargetMode="External" Id="rId122"/><Relationship Type="http://schemas.openxmlformats.org/officeDocument/2006/relationships/hyperlink" Target="https://www.sefaria.org/Psalms_120" TargetMode="External" Id="rId123"/><Relationship Type="http://schemas.openxmlformats.org/officeDocument/2006/relationships/hyperlink" Target="https://www.sefaria.org/Psalms_121" TargetMode="External" Id="rId124"/><Relationship Type="http://schemas.openxmlformats.org/officeDocument/2006/relationships/hyperlink" Target="https://www.sefaria.org/Psalms_122" TargetMode="External" Id="rId125"/><Relationship Type="http://schemas.openxmlformats.org/officeDocument/2006/relationships/hyperlink" Target="https://www.sefaria.org/Psalms_123" TargetMode="External" Id="rId126"/><Relationship Type="http://schemas.openxmlformats.org/officeDocument/2006/relationships/hyperlink" Target="https://www.sefaria.org/Psalms_124" TargetMode="External" Id="rId127"/><Relationship Type="http://schemas.openxmlformats.org/officeDocument/2006/relationships/hyperlink" Target="https://www.sefaria.org/Psalms_125" TargetMode="External" Id="rId128"/><Relationship Type="http://schemas.openxmlformats.org/officeDocument/2006/relationships/hyperlink" Target="https://www.sefaria.org/Psalms_126" TargetMode="External" Id="rId129"/><Relationship Type="http://schemas.openxmlformats.org/officeDocument/2006/relationships/hyperlink" Target="https://www.sefaria.org/Psalms_127" TargetMode="External" Id="rId130"/><Relationship Type="http://schemas.openxmlformats.org/officeDocument/2006/relationships/hyperlink" Target="https://www.sefaria.org/Psalms_128" TargetMode="External" Id="rId131"/><Relationship Type="http://schemas.openxmlformats.org/officeDocument/2006/relationships/hyperlink" Target="https://www.sefaria.org/Psalms_129" TargetMode="External" Id="rId132"/><Relationship Type="http://schemas.openxmlformats.org/officeDocument/2006/relationships/hyperlink" Target="https://www.sefaria.org/Psalms_130" TargetMode="External" Id="rId133"/><Relationship Type="http://schemas.openxmlformats.org/officeDocument/2006/relationships/hyperlink" Target="https://www.sefaria.org/Psalms_131" TargetMode="External" Id="rId134"/><Relationship Type="http://schemas.openxmlformats.org/officeDocument/2006/relationships/hyperlink" Target="https://www.sefaria.org/Psalms_132" TargetMode="External" Id="rId135"/><Relationship Type="http://schemas.openxmlformats.org/officeDocument/2006/relationships/hyperlink" Target="https://www.sefaria.org/Psalms_133" TargetMode="External" Id="rId136"/><Relationship Type="http://schemas.openxmlformats.org/officeDocument/2006/relationships/hyperlink" Target="https://www.sefaria.org/Psalms_134" TargetMode="External" Id="rId137"/><Relationship Type="http://schemas.openxmlformats.org/officeDocument/2006/relationships/hyperlink" Target="https://www.sefaria.org/Psalms_135" TargetMode="External" Id="rId138"/><Relationship Type="http://schemas.openxmlformats.org/officeDocument/2006/relationships/hyperlink" Target="https://www.sefaria.org/Psalms_136" TargetMode="External" Id="rId139"/><Relationship Type="http://schemas.openxmlformats.org/officeDocument/2006/relationships/hyperlink" Target="https://www.sefaria.org/Psalms_137" TargetMode="External" Id="rId140"/><Relationship Type="http://schemas.openxmlformats.org/officeDocument/2006/relationships/hyperlink" Target="https://www.sefaria.org/Psalms_138" TargetMode="External" Id="rId141"/><Relationship Type="http://schemas.openxmlformats.org/officeDocument/2006/relationships/hyperlink" Target="https://www.sefaria.org/Psalms_139" TargetMode="External" Id="rId142"/><Relationship Type="http://schemas.openxmlformats.org/officeDocument/2006/relationships/hyperlink" Target="https://www.sefaria.org/Psalms_140" TargetMode="External" Id="rId143"/><Relationship Type="http://schemas.openxmlformats.org/officeDocument/2006/relationships/hyperlink" Target="https://www.sefaria.org/Psalms_141" TargetMode="External" Id="rId144"/><Relationship Type="http://schemas.openxmlformats.org/officeDocument/2006/relationships/hyperlink" Target="https://www.sefaria.org/Psalms_142" TargetMode="External" Id="rId145"/><Relationship Type="http://schemas.openxmlformats.org/officeDocument/2006/relationships/hyperlink" Target="https://www.sefaria.org/Psalms_143" TargetMode="External" Id="rId146"/><Relationship Type="http://schemas.openxmlformats.org/officeDocument/2006/relationships/hyperlink" Target="https://www.sefaria.org/Psalms_144" TargetMode="External" Id="rId147"/><Relationship Type="http://schemas.openxmlformats.org/officeDocument/2006/relationships/hyperlink" Target="https://www.sefaria.org/Psalms_145" TargetMode="External" Id="rId148"/><Relationship Type="http://schemas.openxmlformats.org/officeDocument/2006/relationships/hyperlink" Target="https://www.sefaria.org/Psalms_146" TargetMode="External" Id="rId149"/><Relationship Type="http://schemas.openxmlformats.org/officeDocument/2006/relationships/hyperlink" Target="https://www.sefaria.org/Psalms_147" TargetMode="External" Id="rId150"/><Relationship Type="http://schemas.openxmlformats.org/officeDocument/2006/relationships/hyperlink" Target="https://www.sefaria.org/Psalms_148" TargetMode="External" Id="rId151"/><Relationship Type="http://schemas.openxmlformats.org/officeDocument/2006/relationships/hyperlink" Target="https://www.sefaria.org/Psalms_149" TargetMode="External" Id="rId152"/><Relationship Type="http://schemas.openxmlformats.org/officeDocument/2006/relationships/hyperlink" Target="https://www.sefaria.org/Psalms_150" TargetMode="External" Id="rId153"/><Relationship Type="http://schemas.openxmlformats.org/officeDocument/2006/relationships/hyperlink" Target="https://www.sefaria.org/Siddur_Ashkenaz,_Weekday,_Shacharit,_Preparatory_Prayers,_Netilat_Yadayim" TargetMode="External" Id="rId154"/><Relationship Type="http://schemas.openxmlformats.org/officeDocument/2006/relationships/hyperlink" Target="https://www.sefaria.org/Siddur_Ashkenaz,_Weekday,_Shacharit,_Preparatory_Prayers,_Elokai_Neshama" TargetMode="External" Id="rId155"/><Relationship Type="http://schemas.openxmlformats.org/officeDocument/2006/relationships/hyperlink" Target="https://www.sefaria.org/Siddur_Ashkenaz,_Weekday,_Shacharit,_Preparatory_Prayers,_Tzitzit" TargetMode="External" Id="rId156"/><Relationship Type="http://schemas.openxmlformats.org/officeDocument/2006/relationships/hyperlink" Target="https://www.sefaria.org/Siddur_Ashkenaz,_Weekday,_Shacharit,_Preparatory_Prayers,_Torah_Blessings" TargetMode="External" Id="rId157"/><Relationship Type="http://schemas.openxmlformats.org/officeDocument/2006/relationships/hyperlink" Target="https://www.sefaria.org/Siddur_Ashkenaz,_Weekday,_Shacharit,_Preparatory_Prayers,_Ma_Tovu" TargetMode="External" Id="rId158"/><Relationship Type="http://schemas.openxmlformats.org/officeDocument/2006/relationships/hyperlink" Target="https://www.sefaria.org/Siddur_Ashkenaz,_Weekday,_Shacharit,_Preparatory_Prayers,_Adon_Olam" TargetMode="External" Id="rId159"/><Relationship Type="http://schemas.openxmlformats.org/officeDocument/2006/relationships/hyperlink" Target="https://www.sefaria.org/Siddur_Ashkenaz,_Weekday,_Shacharit,_Preparatory_Prayers,_Yigdal" TargetMode="External" Id="rId160"/><Relationship Type="http://schemas.openxmlformats.org/officeDocument/2006/relationships/hyperlink" Target="https://www.sefaria.org/Siddur_Ashkenaz,_Weekday,_Shacharit,_Preparatory_Prayers,_Akedah" TargetMode="External" Id="rId161"/><Relationship Type="http://schemas.openxmlformats.org/officeDocument/2006/relationships/hyperlink" Target="https://www.sefaria.org/Siddur_Ashkenaz,_Weekday,_Shacharit,_Preparatory_Prayers,_Sovereignty_of_Heaven" TargetMode="External" Id="rId162"/><Relationship Type="http://schemas.openxmlformats.org/officeDocument/2006/relationships/hyperlink" Target="https://www.sefaria.org/Siddur_Ashkenaz,_Weekday,_Shacharit,_Preparatory_Prayers,_Korbanot,_Kiyor" TargetMode="External" Id="rId163"/><Relationship Type="http://schemas.openxmlformats.org/officeDocument/2006/relationships/hyperlink" Target="https://www.sefaria.org/Siddur_Ashkenaz,_Weekday,_Shacharit,_Preparatory_Prayers,_Korbanot,_Terumat_HaDeshen" TargetMode="External" Id="rId164"/><Relationship Type="http://schemas.openxmlformats.org/officeDocument/2006/relationships/hyperlink" Target="https://www.sefaria.org/Siddur_Ashkenaz,_Weekday,_Shacharit,_Preparatory_Prayers,_Korbanot,_Korban_HaTamid" TargetMode="External" Id="rId165"/><Relationship Type="http://schemas.openxmlformats.org/officeDocument/2006/relationships/hyperlink" Target="https://www.sefaria.org/Siddur_Ashkenaz,_Weekday,_Shacharit,_Preparatory_Prayers,_Korbanot,_Order_of_the_Temple_Service" TargetMode="External" Id="rId166"/><Relationship Type="http://schemas.openxmlformats.org/officeDocument/2006/relationships/hyperlink" Target="https://www.sefaria.org/Siddur_Ashkenaz,_Weekday,_Shacharit,_Preparatory_Prayers,_Korbanot,_Laws_of_Sacrifices" TargetMode="External" Id="rId167"/><Relationship Type="http://schemas.openxmlformats.org/officeDocument/2006/relationships/hyperlink" Target="https://www.sefaria.org/Siddur_Ashkenaz,_Weekday,_Shacharit,_Preparatory_Prayers,_Korbanot,_Baraita_of_Rabbi_Yishmael" TargetMode="External" Id="rId168"/><Relationship Type="http://schemas.openxmlformats.org/officeDocument/2006/relationships/hyperlink" Target="https://www.sefaria.org/Siddur_Ashkenaz,_Weekday,_Shacharit,_Preparatory_Prayers,_Korbanot,_Kaddish_DeRabbanan" TargetMode="External" Id="rId169"/><Relationship Type="http://schemas.openxmlformats.org/officeDocument/2006/relationships/hyperlink" Target="https://www.sefaria.org/Siddur_Ashkenaz,_Weekday,_Shacharit,_Pesukei_Dezimra,_Introductory_Psalm" TargetMode="External" Id="rId170"/><Relationship Type="http://schemas.openxmlformats.org/officeDocument/2006/relationships/hyperlink" Target="https://www.sefaria.org/Siddur_Ashkenaz,_Weekday,_Shacharit,_Pesukei_Dezimra,_Mourner's_Kaddish" TargetMode="External" Id="rId171"/><Relationship Type="http://schemas.openxmlformats.org/officeDocument/2006/relationships/hyperlink" Target="https://www.sefaria.org/Siddur_Ashkenaz,_Weekday,_Shacharit,_Pesukei_Dezimra,_Barukh_She'amar" TargetMode="External" Id="rId172"/><Relationship Type="http://schemas.openxmlformats.org/officeDocument/2006/relationships/hyperlink" Target="https://www.sefaria.org/Siddur_Ashkenaz,_Weekday,_Shacharit,_Pesukei_Dezimra,_Hodu" TargetMode="External" Id="rId173"/><Relationship Type="http://schemas.openxmlformats.org/officeDocument/2006/relationships/hyperlink" Target="https://www.sefaria.org/Siddur_Ashkenaz,_Weekday,_Shacharit,_Pesukei_Dezimra,_Mizmor_Letoda" TargetMode="External" Id="rId174"/><Relationship Type="http://schemas.openxmlformats.org/officeDocument/2006/relationships/hyperlink" Target="https://www.sefaria.org/Siddur_Ashkenaz,_Weekday,_Shacharit,_Pesukei_Dezimra,_Yehi_Chevod" TargetMode="External" Id="rId175"/><Relationship Type="http://schemas.openxmlformats.org/officeDocument/2006/relationships/hyperlink" Target="https://www.sefaria.org/Siddur_Ashkenaz,_Weekday,_Shacharit,_Pesukei_Dezimra,_Ashrei" TargetMode="External" Id="rId176"/><Relationship Type="http://schemas.openxmlformats.org/officeDocument/2006/relationships/hyperlink" Target="https://www.sefaria.org/Siddur_Ashkenaz,_Weekday,_Shacharit,_Pesukei_Dezimra,_Psalm_146" TargetMode="External" Id="rId177"/><Relationship Type="http://schemas.openxmlformats.org/officeDocument/2006/relationships/hyperlink" Target="https://www.sefaria.org/Siddur_Ashkenaz,_Weekday,_Shacharit,_Pesukei_Dezimra,_Psalm_147" TargetMode="External" Id="rId178"/><Relationship Type="http://schemas.openxmlformats.org/officeDocument/2006/relationships/hyperlink" Target="https://www.sefaria.org/Siddur_Ashkenaz,_Weekday,_Shacharit,_Pesukei_Dezimra,_Psalm_148" TargetMode="External" Id="rId179"/><Relationship Type="http://schemas.openxmlformats.org/officeDocument/2006/relationships/hyperlink" Target="https://www.sefaria.org/Siddur_Ashkenaz,_Weekday,_Shacharit,_Pesukei_Dezimra,_Psalm_149" TargetMode="External" Id="rId180"/><Relationship Type="http://schemas.openxmlformats.org/officeDocument/2006/relationships/hyperlink" Target="https://www.sefaria.org/Siddur_Ashkenaz,_Weekday,_Shacharit,_Pesukei_Dezimra,_Psalm_150" TargetMode="External" Id="rId181"/><Relationship Type="http://schemas.openxmlformats.org/officeDocument/2006/relationships/hyperlink" Target="https://www.sefaria.org/Siddur_Ashkenaz,_Weekday,_Shacharit,_Pesukei_Dezimra,_Closing_Verses" TargetMode="External" Id="rId182"/><Relationship Type="http://schemas.openxmlformats.org/officeDocument/2006/relationships/hyperlink" Target="https://www.sefaria.org/Siddur_Ashkenaz,_Weekday,_Shacharit,_Pesukei_Dezimra,_Vayevarech_David" TargetMode="External" Id="rId183"/><Relationship Type="http://schemas.openxmlformats.org/officeDocument/2006/relationships/hyperlink" Target="https://www.sefaria.org/Siddur_Ashkenaz,_Weekday,_Shacharit,_Pesukei_Dezimra,_Ata_Hu" TargetMode="External" Id="rId184"/><Relationship Type="http://schemas.openxmlformats.org/officeDocument/2006/relationships/hyperlink" Target="https://www.sefaria.org/Siddur_Ashkenaz,_Weekday,_Shacharit,_Pesukei_Dezimra,_Az_Yashir" TargetMode="External" Id="rId185"/><Relationship Type="http://schemas.openxmlformats.org/officeDocument/2006/relationships/hyperlink" Target="https://www.sefaria.org/Siddur_Ashkenaz,_Weekday,_Shacharit,_Pesukei_Dezimra,_Yishtabach" TargetMode="External" Id="rId186"/><Relationship Type="http://schemas.openxmlformats.org/officeDocument/2006/relationships/hyperlink" Target="https://www.sefaria.org/Siddur_Ashkenaz,_Weekday,_Shacharit,_Pesukei_Dezimra,_Psalm_130" TargetMode="External" Id="rId187"/><Relationship Type="http://schemas.openxmlformats.org/officeDocument/2006/relationships/hyperlink" Target="https://www.sefaria.org/Siddur_Ashkenaz,_Weekday,_Shacharit,_Pesukei_Dezimra,_Half_Kaddish" TargetMode="External" Id="rId188"/><Relationship Type="http://schemas.openxmlformats.org/officeDocument/2006/relationships/hyperlink" Target="https://www.sefaria.org/Siddur_Ashkenaz,_Weekday,_Shacharit,_Blessings_of_the_Shema,_Barchu" TargetMode="External" Id="rId189"/><Relationship Type="http://schemas.openxmlformats.org/officeDocument/2006/relationships/hyperlink" Target="https://www.sefaria.org/Siddur_Ashkenaz,_Weekday,_Shacharit,_Blessings_of_the_Shema,_First_Blessing_before_Shema" TargetMode="External" Id="rId190"/><Relationship Type="http://schemas.openxmlformats.org/officeDocument/2006/relationships/hyperlink" Target="https://www.sefaria.org/Siddur_Ashkenaz,_Weekday,_Shacharit,_Blessings_of_the_Shema,_Second_Blessing_before_Shema" TargetMode="External" Id="rId191"/><Relationship Type="http://schemas.openxmlformats.org/officeDocument/2006/relationships/hyperlink" Target="https://www.sefaria.org/Siddur_Ashkenaz,_Weekday,_Shacharit,_Blessings_of_the_Shema,_Blessing_after_Shema" TargetMode="External" Id="rId192"/><Relationship Type="http://schemas.openxmlformats.org/officeDocument/2006/relationships/hyperlink" Target="https://www.sefaria.org/Siddur_Ashkenaz,_Weekday,_Shacharit,_Amidah,_Kedushah" TargetMode="External" Id="rId193"/><Relationship Type="http://schemas.openxmlformats.org/officeDocument/2006/relationships/hyperlink" Target="https://www.sefaria.org/Siddur_Ashkenaz,_Weekday,_Shacharit,_Amidah,_Knowledge" TargetMode="External" Id="rId194"/><Relationship Type="http://schemas.openxmlformats.org/officeDocument/2006/relationships/hyperlink" Target="https://www.sefaria.org/Siddur_Ashkenaz,_Weekday,_Shacharit,_Amidah,_Repentance" TargetMode="External" Id="rId195"/><Relationship Type="http://schemas.openxmlformats.org/officeDocument/2006/relationships/hyperlink" Target="https://www.sefaria.org/Siddur_Ashkenaz,_Weekday,_Shacharit,_Amidah,_Forgiveness" TargetMode="External" Id="rId196"/><Relationship Type="http://schemas.openxmlformats.org/officeDocument/2006/relationships/hyperlink" Target="https://www.sefaria.org/Siddur_Ashkenaz,_Weekday,_Shacharit,_Amidah,_Healing" TargetMode="External" Id="rId197"/><Relationship Type="http://schemas.openxmlformats.org/officeDocument/2006/relationships/hyperlink" Target="https://www.sefaria.org/Siddur_Ashkenaz,_Weekday,_Shacharit,_Amidah,_Gathering_the_Exiles" TargetMode="External" Id="rId198"/><Relationship Type="http://schemas.openxmlformats.org/officeDocument/2006/relationships/hyperlink" Target="https://www.sefaria.org/Siddur_Ashkenaz,_Weekday,_Shacharit,_Amidah,_Against_Enemies" TargetMode="External" Id="rId199"/><Relationship Type="http://schemas.openxmlformats.org/officeDocument/2006/relationships/hyperlink" Target="https://www.sefaria.org/Siddur_Ashkenaz,_Weekday,_Shacharit,_Amidah,_The_Righteous" TargetMode="External" Id="rId200"/><Relationship Type="http://schemas.openxmlformats.org/officeDocument/2006/relationships/hyperlink" Target="https://www.sefaria.org/Siddur_Ashkenaz,_Weekday,_Shacharit,_Amidah,_Rebuilding_Jerusalem" TargetMode="External" Id="rId201"/><Relationship Type="http://schemas.openxmlformats.org/officeDocument/2006/relationships/hyperlink" Target="https://www.sefaria.org/Siddur_Ashkenaz,_Weekday,_Shacharit,_Amidah,_Kingdom_of_David" TargetMode="External" Id="rId202"/><Relationship Type="http://schemas.openxmlformats.org/officeDocument/2006/relationships/hyperlink" Target="https://www.sefaria.org/Siddur_Ashkenaz,_Weekday,_Shacharit,_Amidah,_Response_to_Prayer" TargetMode="External" Id="rId203"/><Relationship Type="http://schemas.openxmlformats.org/officeDocument/2006/relationships/hyperlink" Target="https://www.sefaria.org/Siddur_Ashkenaz,_Weekday,_Shacharit,_Amidah,_Temple_Service" TargetMode="External" Id="rId204"/><Relationship Type="http://schemas.openxmlformats.org/officeDocument/2006/relationships/hyperlink" Target="https://www.sefaria.org/Siddur_Ashkenaz,_Weekday,_Shacharit,_Amidah,_Birkat_Kohanim" TargetMode="External" Id="rId205"/><Relationship Type="http://schemas.openxmlformats.org/officeDocument/2006/relationships/hyperlink" Target="https://www.sefaria.org/Siddur_Ashkenaz,_Weekday,_Shacharit,_Amidah,_Concluding_Passage" TargetMode="External" Id="rId206"/><Relationship Type="http://schemas.openxmlformats.org/officeDocument/2006/relationships/hyperlink" Target="https://www.sefaria.org/Siddur_Ashkenaz,_Weekday,_Shacharit,_Post_Amidah,_Vidui_and_13_Middot" TargetMode="External" Id="rId207"/><Relationship Type="http://schemas.openxmlformats.org/officeDocument/2006/relationships/hyperlink" Target="https://www.sefaria.org/Siddur_Ashkenaz,_Weekday,_Shacharit,_Post_Amidah,_Tachanun,_For_Monday_and_Thursday" TargetMode="External" Id="rId208"/><Relationship Type="http://schemas.openxmlformats.org/officeDocument/2006/relationships/hyperlink" Target="https://www.sefaria.org/Siddur_Ashkenaz,_Weekday,_Shacharit,_Post_Amidah,_Tachanun,_Nefilat_Apayim" TargetMode="External" Id="rId209"/><Relationship Type="http://schemas.openxmlformats.org/officeDocument/2006/relationships/hyperlink" Target="https://www.sefaria.org/Siddur_Ashkenaz,_Weekday,_Shacharit,_Post_Amidah,_Tachanun,_God_of_Israel" TargetMode="External" Id="rId210"/><Relationship Type="http://schemas.openxmlformats.org/officeDocument/2006/relationships/hyperlink" Target="https://www.sefaria.org/Siddur_Ashkenaz,_Weekday,_Shacharit,_Post_Amidah,_Tachanun,_Shomer_Yisrael" TargetMode="External" Id="rId211"/><Relationship Type="http://schemas.openxmlformats.org/officeDocument/2006/relationships/hyperlink" Target="https://www.sefaria.org/Siddur_Ashkenaz,_Weekday,_Shacharit,_Post_Amidah,_Tachanun,_Half_Kaddish" TargetMode="External" Id="rId212"/><Relationship Type="http://schemas.openxmlformats.org/officeDocument/2006/relationships/hyperlink" Target="https://www.sefaria.org/Siddur_Ashkenaz,_Weekday,_Shacharit,_Torah_Reading,_Removing_the_Torah_from_Ark,_El_Erech_Appayim" TargetMode="External" Id="rId213"/><Relationship Type="http://schemas.openxmlformats.org/officeDocument/2006/relationships/hyperlink" Target="https://www.sefaria.org/Siddur_Ashkenaz,_Weekday,_Shacharit,_Torah_Reading,_Removing_the_Torah_from_Ark,_Vayehi_Binsoa" TargetMode="External" Id="rId214"/><Relationship Type="http://schemas.openxmlformats.org/officeDocument/2006/relationships/hyperlink" Target="https://www.sefaria.org/Siddur_Ashkenaz,_Weekday,_Shacharit,_Torah_Reading,_Removing_the_Torah_from_Ark,_Berich_Shmei" TargetMode="External" Id="rId215"/><Relationship Type="http://schemas.openxmlformats.org/officeDocument/2006/relationships/hyperlink" Target="https://www.sefaria.org/Siddur_Ashkenaz,_Weekday,_Shacharit,_Torah_Reading,_Removing_the_Torah_from_Ark,_Lekha_Hashem" TargetMode="External" Id="rId216"/><Relationship Type="http://schemas.openxmlformats.org/officeDocument/2006/relationships/hyperlink" Target="https://www.sefaria.org/Siddur_Ashkenaz,_Weekday,_Shacharit,_Torah_Reading,_Removing_the_Torah_from_Ark,_Av_Harachamim" TargetMode="External" Id="rId217"/><Relationship Type="http://schemas.openxmlformats.org/officeDocument/2006/relationships/hyperlink" Target="https://www.sefaria.org/Siddur_Ashkenaz,_Weekday,_Shacharit,_Torah_Reading,_Removing_the_Torah_from_Ark,_Vetigaleh_Veteraeh" TargetMode="External" Id="rId218"/><Relationship Type="http://schemas.openxmlformats.org/officeDocument/2006/relationships/hyperlink" Target="https://www.sefaria.org/Siddur_Ashkenaz,_Weekday,_Shacharit,_Torah_Reading,_Reading_from_Sefer,_Birkat_HaTorah" TargetMode="External" Id="rId219"/><Relationship Type="http://schemas.openxmlformats.org/officeDocument/2006/relationships/hyperlink" Target="https://www.sefaria.org/Siddur_Ashkenaz,_Weekday,_Shacharit,_Torah_Reading,_Reading_from_Sefer,_Half_Kaddish" TargetMode="External" Id="rId220"/><Relationship Type="http://schemas.openxmlformats.org/officeDocument/2006/relationships/hyperlink" Target="https://www.sefaria.org/Siddur_Ashkenaz,_Weekday,_Shacharit,_Torah_Reading,_Returning_Sefer_to_Aron,_Yehalelu" TargetMode="External" Id="rId221"/><Relationship Type="http://schemas.openxmlformats.org/officeDocument/2006/relationships/hyperlink" Target="https://www.sefaria.org/Siddur_Ashkenaz,_Weekday,_Shacharit,_Torah_Reading,_Returning_Sefer_to_Aron,_LeDavid_Mizmor" TargetMode="External" Id="rId222"/><Relationship Type="http://schemas.openxmlformats.org/officeDocument/2006/relationships/hyperlink" Target="https://www.sefaria.org/Siddur_Ashkenaz,_Weekday,_Shacharit,_Torah_Reading,_Returning_Sefer_to_Aron,_Uvenucho_Yomar" TargetMode="External" Id="rId223"/><Relationship Type="http://schemas.openxmlformats.org/officeDocument/2006/relationships/hyperlink" Target="https://www.sefaria.org/Siddur_Ashkenaz,_Weekday,_Shacharit,_Concluding_Prayers,_Ashrei" TargetMode="External" Id="rId224"/><Relationship Type="http://schemas.openxmlformats.org/officeDocument/2006/relationships/hyperlink" Target="https://www.sefaria.org/Siddur_Ashkenaz,_Weekday,_Shacharit,_Concluding_Prayers,_Lamenatze'ach" TargetMode="External" Id="rId225"/><Relationship Type="http://schemas.openxmlformats.org/officeDocument/2006/relationships/hyperlink" Target="https://www.sefaria.org/Siddur_Ashkenaz,_Weekday,_Shacharit,_Concluding_Prayers,_Uva_Letzion" TargetMode="External" Id="rId226"/><Relationship Type="http://schemas.openxmlformats.org/officeDocument/2006/relationships/hyperlink" Target="https://www.sefaria.org/Siddur_Ashkenaz,_Weekday,_Shacharit,_Concluding_Prayers,_Kaddish_Shalem" TargetMode="External" Id="rId227"/><Relationship Type="http://schemas.openxmlformats.org/officeDocument/2006/relationships/hyperlink" Target="https://www.sefaria.org/Siddur_Ashkenaz,_Weekday,_Shacharit,_Concluding_Prayers,_Alenu" TargetMode="External" Id="rId228"/><Relationship Type="http://schemas.openxmlformats.org/officeDocument/2006/relationships/hyperlink" Target="https://www.sefaria.org/Siddur_Ashkenaz,_Weekday,_Shacharit,_Concluding_Prayers,_Mourner's_Kaddish" TargetMode="External" Id="rId229"/><Relationship Type="http://schemas.openxmlformats.org/officeDocument/2006/relationships/hyperlink" Target="https://www.sefaria.org/Siddur_Ashkenaz,_Weekday,_Shacharit,_Concluding_Prayers,_Song_of_the_Day" TargetMode="External" Id="rId230"/><Relationship Type="http://schemas.openxmlformats.org/officeDocument/2006/relationships/hyperlink" Target="https://www.sefaria.org/Siddur_Ashkenaz,_Weekday,_Shacharit,_Concluding_Prayers,_Barchi_Nafshi" TargetMode="External" Id="rId231"/><Relationship Type="http://schemas.openxmlformats.org/officeDocument/2006/relationships/hyperlink" Target="https://www.sefaria.org/Siddur_Ashkenaz,_Weekday,_Shacharit,_Concluding_Prayers,_LeDavid" TargetMode="External" Id="rId232"/><Relationship Type="http://schemas.openxmlformats.org/officeDocument/2006/relationships/hyperlink" Target="https://www.sefaria.org/Siddur_Ashkenaz,_Weekday,_Shacharit,_Concluding_Prayers,_Korbanot_(Israel),_Pitum_HaKetoret" TargetMode="External" Id="rId233"/><Relationship Type="http://schemas.openxmlformats.org/officeDocument/2006/relationships/hyperlink" Target="https://www.sefaria.org/Siddur_Ashkenaz,_Weekday,_Shacharit,_Concluding_Prayers,_Korbanot_(Israel),_Mourner's_Kaddish" TargetMode="External" Id="rId234"/><Relationship Type="http://schemas.openxmlformats.org/officeDocument/2006/relationships/hyperlink" Target="https://www.sefaria.org/Siddur_Ashkenaz,_Weekday,_Shacharit,_Concluding_Prayers,_Korbanot_(Israel),_Barchu" TargetMode="External" Id="rId235"/><Relationship Type="http://schemas.openxmlformats.org/officeDocument/2006/relationships/hyperlink" Target="https://www.sefaria.org/Siddur_Ashkenaz,_Weekday,_Shacharit,_Post_Service,_Thirteen_Principles" TargetMode="External" Id="rId236"/><Relationship Type="http://schemas.openxmlformats.org/officeDocument/2006/relationships/hyperlink" Target="https://www.sefaria.org/Siddur_Ashkenaz,_Weekday,_Minchah,_Ashrei" TargetMode="External" Id="rId237"/><Relationship Type="http://schemas.openxmlformats.org/officeDocument/2006/relationships/hyperlink" Target="https://www.sefaria.org/Siddur_Ashkenaz,_Weekday,_Minchah,_Amida,_Keduasha" TargetMode="External" Id="rId238"/><Relationship Type="http://schemas.openxmlformats.org/officeDocument/2006/relationships/hyperlink" Target="https://www.sefaria.org/Siddur_Ashkenaz,_Weekday,_Minchah,_Amida,_Knowledge" TargetMode="External" Id="rId239"/><Relationship Type="http://schemas.openxmlformats.org/officeDocument/2006/relationships/hyperlink" Target="https://www.sefaria.org/Siddur_Ashkenaz,_Weekday,_Minchah,_Amida,_Repentance" TargetMode="External" Id="rId240"/><Relationship Type="http://schemas.openxmlformats.org/officeDocument/2006/relationships/hyperlink" Target="https://www.sefaria.org/Siddur_Ashkenaz,_Weekday,_Minchah,_Amida,_Forgiveness" TargetMode="External" Id="rId241"/><Relationship Type="http://schemas.openxmlformats.org/officeDocument/2006/relationships/hyperlink" Target="https://www.sefaria.org/Siddur_Ashkenaz,_Weekday,_Minchah,_Amida,_Healing" TargetMode="External" Id="rId242"/><Relationship Type="http://schemas.openxmlformats.org/officeDocument/2006/relationships/hyperlink" Target="https://www.sefaria.org/Siddur_Ashkenaz,_Weekday,_Minchah,_Amida,_Gathering_the_Exiles" TargetMode="External" Id="rId243"/><Relationship Type="http://schemas.openxmlformats.org/officeDocument/2006/relationships/hyperlink" Target="https://www.sefaria.org/Siddur_Ashkenaz,_Weekday,_Minchah,_Amida,_Against_Enemies" TargetMode="External" Id="rId244"/><Relationship Type="http://schemas.openxmlformats.org/officeDocument/2006/relationships/hyperlink" Target="https://www.sefaria.org/Siddur_Ashkenaz,_Weekday,_Minchah,_Amida,_The_Righteous" TargetMode="External" Id="rId245"/><Relationship Type="http://schemas.openxmlformats.org/officeDocument/2006/relationships/hyperlink" Target="https://www.sefaria.org/Siddur_Ashkenaz,_Weekday,_Minchah,_Amida,_Rebuilding_Jerusalem" TargetMode="External" Id="rId246"/><Relationship Type="http://schemas.openxmlformats.org/officeDocument/2006/relationships/hyperlink" Target="https://www.sefaria.org/Siddur_Ashkenaz,_Weekday,_Minchah,_Amida,_Kingdom_of_David" TargetMode="External" Id="rId247"/><Relationship Type="http://schemas.openxmlformats.org/officeDocument/2006/relationships/hyperlink" Target="https://www.sefaria.org/Siddur_Ashkenaz,_Weekday,_Minchah,_Amida,_Response_to_Prayer" TargetMode="External" Id="rId248"/><Relationship Type="http://schemas.openxmlformats.org/officeDocument/2006/relationships/hyperlink" Target="https://www.sefaria.org/Siddur_Ashkenaz,_Weekday,_Minchah,_Amida,_Temple_Service" TargetMode="External" Id="rId249"/><Relationship Type="http://schemas.openxmlformats.org/officeDocument/2006/relationships/hyperlink" Target="https://www.sefaria.org/Siddur_Ashkenaz,_Weekday,_Minchah,_Amida,_Birkat_Kohanim" TargetMode="External" Id="rId250"/><Relationship Type="http://schemas.openxmlformats.org/officeDocument/2006/relationships/hyperlink" Target="https://www.sefaria.org/Siddur_Ashkenaz,_Weekday,_Minchah,_Amida,_Concluding_Passage" TargetMode="External" Id="rId251"/><Relationship Type="http://schemas.openxmlformats.org/officeDocument/2006/relationships/hyperlink" Target="https://www.sefaria.org/Siddur_Ashkenaz,_Weekday,_Minchah,_Post_Amidah,_Tachanun,_Nefilat_Appayim" TargetMode="External" Id="rId252"/><Relationship Type="http://schemas.openxmlformats.org/officeDocument/2006/relationships/hyperlink" Target="https://www.sefaria.org/Siddur_Ashkenaz,_Weekday,_Minchah,_Post_Amidah,_Tachanun,_Shomer_Yisrael" TargetMode="External" Id="rId253"/><Relationship Type="http://schemas.openxmlformats.org/officeDocument/2006/relationships/hyperlink" Target="https://www.sefaria.org/Siddur_Ashkenaz,_Weekday,_Minchah,_Post_Amidah,_Kaddish_Shalem" TargetMode="External" Id="rId254"/><Relationship Type="http://schemas.openxmlformats.org/officeDocument/2006/relationships/hyperlink" Target="https://www.sefaria.org/Siddur_Ashkenaz,_Weekday,_Minchah,_Concluding_Prayers,_Alenu" TargetMode="External" Id="rId255"/><Relationship Type="http://schemas.openxmlformats.org/officeDocument/2006/relationships/hyperlink" Target="https://www.sefaria.org/Siddur_Ashkenaz,_Weekday,_Minchah,_Concluding_Prayers,_Mourner's_Kaddish" TargetMode="External" Id="rId256"/><Relationship Type="http://schemas.openxmlformats.org/officeDocument/2006/relationships/hyperlink" Target="https://www.sefaria.org/Siddur_Ashkenaz,_Weekday,_Maariv,_Vehu_Rachum" TargetMode="External" Id="rId257"/><Relationship Type="http://schemas.openxmlformats.org/officeDocument/2006/relationships/hyperlink" Target="https://www.sefaria.org/Siddur_Ashkenaz,_Weekday,_Maariv,_Barchu" TargetMode="External" Id="rId258"/><Relationship Type="http://schemas.openxmlformats.org/officeDocument/2006/relationships/hyperlink" Target="https://www.sefaria.org/Siddur_Ashkenaz,_Weekday,_Maariv,_Blessings_of_the_Shema,_First_Blessing_before_Shema" TargetMode="External" Id="rId259"/><Relationship Type="http://schemas.openxmlformats.org/officeDocument/2006/relationships/hyperlink" Target="https://www.sefaria.org/Siddur_Ashkenaz,_Weekday,_Maariv,_Blessings_of_the_Shema,_Second_Blessing_before_Shema" TargetMode="External" Id="rId260"/><Relationship Type="http://schemas.openxmlformats.org/officeDocument/2006/relationships/hyperlink" Target="https://www.sefaria.org/Siddur_Ashkenaz,_Weekday,_Maariv,_Blessings_of_the_Shema,_First_Blessing_after_Shema" TargetMode="External" Id="rId261"/><Relationship Type="http://schemas.openxmlformats.org/officeDocument/2006/relationships/hyperlink" Target="https://www.sefaria.org/Siddur_Ashkenaz,_Weekday,_Maariv,_Blessings_of_the_Shema,_Second_Blessing_after_Shema" TargetMode="External" Id="rId262"/><Relationship Type="http://schemas.openxmlformats.org/officeDocument/2006/relationships/hyperlink" Target="https://www.sefaria.org/Siddur_Ashkenaz,_Weekday,_Maariv,_Blessings_of_the_Shema,_Third_Blessing_after_Shema" TargetMode="External" Id="rId263"/><Relationship Type="http://schemas.openxmlformats.org/officeDocument/2006/relationships/hyperlink" Target="https://www.sefaria.org/Siddur_Ashkenaz,_Weekday,_Maariv,_Blessings_of_the_Shema,_Half_Kaddish" TargetMode="External" Id="rId264"/><Relationship Type="http://schemas.openxmlformats.org/officeDocument/2006/relationships/hyperlink" Target="https://www.sefaria.org/Siddur_Ashkenaz,_Weekday,_Maariv,_Amidah,_Knowledge" TargetMode="External" Id="rId265"/><Relationship Type="http://schemas.openxmlformats.org/officeDocument/2006/relationships/hyperlink" Target="https://www.sefaria.org/Siddur_Ashkenaz,_Weekday,_Maariv,_Amidah,_Repentance" TargetMode="External" Id="rId266"/><Relationship Type="http://schemas.openxmlformats.org/officeDocument/2006/relationships/hyperlink" Target="https://www.sefaria.org/Siddur_Ashkenaz,_Weekday,_Maariv,_Amidah,_Forgiveness" TargetMode="External" Id="rId267"/><Relationship Type="http://schemas.openxmlformats.org/officeDocument/2006/relationships/hyperlink" Target="https://www.sefaria.org/Siddur_Ashkenaz,_Weekday,_Maariv,_Amidah,_Redemption" TargetMode="External" Id="rId268"/><Relationship Type="http://schemas.openxmlformats.org/officeDocument/2006/relationships/hyperlink" Target="https://www.sefaria.org/Siddur_Ashkenaz,_Weekday,_Maariv,_Amidah,_Healing" TargetMode="External" Id="rId269"/><Relationship Type="http://schemas.openxmlformats.org/officeDocument/2006/relationships/hyperlink" Target="https://www.sefaria.org/Siddur_Ashkenaz,_Weekday,_Maariv,_Amidah,_Gathering_the_Exiles" TargetMode="External" Id="rId270"/><Relationship Type="http://schemas.openxmlformats.org/officeDocument/2006/relationships/hyperlink" Target="https://www.sefaria.org/Siddur_Ashkenaz,_Weekday,_Maariv,_Amidah,_Against_Enemies" TargetMode="External" Id="rId271"/><Relationship Type="http://schemas.openxmlformats.org/officeDocument/2006/relationships/hyperlink" Target="https://www.sefaria.org/Siddur_Ashkenaz,_Weekday,_Maariv,_Amidah,_The_Righteous" TargetMode="External" Id="rId272"/><Relationship Type="http://schemas.openxmlformats.org/officeDocument/2006/relationships/hyperlink" Target="https://www.sefaria.org/Siddur_Ashkenaz,_Weekday,_Maariv,_Amidah,_Rebuilding_Jerusalem" TargetMode="External" Id="rId273"/><Relationship Type="http://schemas.openxmlformats.org/officeDocument/2006/relationships/hyperlink" Target="https://www.sefaria.org/Siddur_Ashkenaz,_Weekday,_Maariv,_Amidah,_Kingdom_of_David" TargetMode="External" Id="rId274"/><Relationship Type="http://schemas.openxmlformats.org/officeDocument/2006/relationships/hyperlink" Target="https://www.sefaria.org/Siddur_Ashkenaz,_Weekday,_Maariv,_Amidah,_Response_to_Prayer" TargetMode="External" Id="rId275"/><Relationship Type="http://schemas.openxmlformats.org/officeDocument/2006/relationships/hyperlink" Target="https://www.sefaria.org/Siddur_Ashkenaz,_Weekday,_Maariv,_Amidah,_Temple_Service" TargetMode="External" Id="rId276"/><Relationship Type="http://schemas.openxmlformats.org/officeDocument/2006/relationships/hyperlink" Target="https://www.sefaria.org/Siddur_Ashkenaz,_Weekday,_Maariv,_Amidah,_Concluding_Passage" TargetMode="External" Id="rId277"/><Relationship Type="http://schemas.openxmlformats.org/officeDocument/2006/relationships/hyperlink" Target="https://www.sefaria.org/Siddur_Ashkenaz,_Weekday,_Maariv,_Additions_for_Motza'ei_Shabbat,_Viyehi_Noam" TargetMode="External" Id="rId278"/><Relationship Type="http://schemas.openxmlformats.org/officeDocument/2006/relationships/hyperlink" Target="https://www.sefaria.org/Siddur_Ashkenaz,_Weekday,_Maariv,_Alenu" TargetMode="External" Id="rId279"/><Relationship Type="http://schemas.openxmlformats.org/officeDocument/2006/relationships/hyperlink" Target="https://www.sefaria.org/Siddur_Ashkenaz,_Weekday,_Maariv,_Mourner's_Kaddish" TargetMode="External" Id="rId280"/><Relationship Type="http://schemas.openxmlformats.org/officeDocument/2006/relationships/hyperlink" Target="https://www.sefaria.org/Siddur_Ashkenaz,_Weekday,_Maariv,_LeDavid" TargetMode="External" Id="rId281"/><Relationship Type="http://schemas.openxmlformats.org/officeDocument/2006/relationships/hyperlink" Target="https://www.sefaria.org/Siddur_Ashkenaz,_Weekday,_Maariv,_Keri'at_Shema_al_Hamita" TargetMode="External" Id="rId282"/><Relationship Type="http://schemas.openxmlformats.org/officeDocument/2006/relationships/hyperlink" Target="https://www.sefaria.org/Siddur_Ashkenaz,_Shabbat,_Kabbalat_Shabbat,_Yedid_Nefesh" TargetMode="External" Id="rId283"/><Relationship Type="http://schemas.openxmlformats.org/officeDocument/2006/relationships/hyperlink" Target="https://www.sefaria.org/Siddur_Ashkenaz,_Shabbat,_Kabbalat_Shabbat,_Psalm_96" TargetMode="External" Id="rId284"/><Relationship Type="http://schemas.openxmlformats.org/officeDocument/2006/relationships/hyperlink" Target="https://www.sefaria.org/Siddur_Ashkenaz,_Shabbat,_Kabbalat_Shabbat,_Psalm_97" TargetMode="External" Id="rId285"/><Relationship Type="http://schemas.openxmlformats.org/officeDocument/2006/relationships/hyperlink" Target="https://www.sefaria.org/Siddur_Ashkenaz,_Shabbat,_Kabbalat_Shabbat,_Psalm_98" TargetMode="External" Id="rId286"/><Relationship Type="http://schemas.openxmlformats.org/officeDocument/2006/relationships/hyperlink" Target="https://www.sefaria.org/Siddur_Ashkenaz,_Shabbat,_Kabbalat_Shabbat,_Psalm_99" TargetMode="External" Id="rId287"/><Relationship Type="http://schemas.openxmlformats.org/officeDocument/2006/relationships/hyperlink" Target="https://www.sefaria.org/Siddur_Ashkenaz,_Shabbat,_Kabbalat_Shabbat,_Psalm_29" TargetMode="External" Id="rId288"/><Relationship Type="http://schemas.openxmlformats.org/officeDocument/2006/relationships/hyperlink" Target="https://www.sefaria.org/Siddur_Ashkenaz,_Shabbat,_Kabbalat_Shabbat,_Ana_Bekoach" TargetMode="External" Id="rId289"/><Relationship Type="http://schemas.openxmlformats.org/officeDocument/2006/relationships/hyperlink" Target="https://www.sefaria.org/Siddur_Ashkenaz,_Shabbat,_Kabbalat_Shabbat,_Lekha_Dodi" TargetMode="External" Id="rId290"/><Relationship Type="http://schemas.openxmlformats.org/officeDocument/2006/relationships/hyperlink" Target="https://www.sefaria.org/Siddur_Ashkenaz,_Shabbat,_Kabbalat_Shabbat,_Psalm_92" TargetMode="External" Id="rId291"/><Relationship Type="http://schemas.openxmlformats.org/officeDocument/2006/relationships/hyperlink" Target="https://www.sefaria.org/Siddur_Ashkenaz,_Shabbat,_Kabbalat_Shabbat,_Psalm_93" TargetMode="External" Id="rId292"/><Relationship Type="http://schemas.openxmlformats.org/officeDocument/2006/relationships/hyperlink" Target="https://www.sefaria.org/Siddur_Ashkenaz,_Shabbat,_Kabbalat_Shabbat,_Mourner's_Kaddish" TargetMode="External" Id="rId293"/><Relationship Type="http://schemas.openxmlformats.org/officeDocument/2006/relationships/hyperlink" Target="https://www.sefaria.org/Siddur_Ashkenaz,_Shabbat,_Kabbalat_Shabbat,_Kaddish_DeRabbanan" TargetMode="External" Id="rId294"/><Relationship Type="http://schemas.openxmlformats.org/officeDocument/2006/relationships/hyperlink" Target="https://www.sefaria.org/Siddur_Ashkenaz,_Shabbat,_Maariv,_Blessings_of_the_Shema,_First_Blessing_before_Shema" TargetMode="External" Id="rId295"/><Relationship Type="http://schemas.openxmlformats.org/officeDocument/2006/relationships/hyperlink" Target="https://www.sefaria.org/Siddur_Ashkenaz,_Shabbat,_Maariv,_Blessings_of_the_Shema,_Second_Blessing_before_Shema" TargetMode="External" Id="rId296"/><Relationship Type="http://schemas.openxmlformats.org/officeDocument/2006/relationships/hyperlink" Target="https://www.sefaria.org/Siddur_Ashkenaz,_Shabbat,_Maariv,_Blessings_of_the_Shema,_First_Blessing_after_Shema" TargetMode="External" Id="rId297"/><Relationship Type="http://schemas.openxmlformats.org/officeDocument/2006/relationships/hyperlink" Target="https://www.sefaria.org/Siddur_Ashkenaz,_Shabbat,_Maariv,_Blessings_of_the_Shema,_Second_Blessing_after_Shema" TargetMode="External" Id="rId298"/><Relationship Type="http://schemas.openxmlformats.org/officeDocument/2006/relationships/hyperlink" Target="https://www.sefaria.org/Siddur_Ashkenaz,_Shabbat,_Maariv,_Half_Kaddish" TargetMode="External" Id="rId299"/><Relationship Type="http://schemas.openxmlformats.org/officeDocument/2006/relationships/hyperlink" Target="https://www.sefaria.org/Siddur_Ashkenaz,_Shabbat,_Maariv,_Amidah,_Holines_of_God's_Name" TargetMode="External" Id="rId300"/><Relationship Type="http://schemas.openxmlformats.org/officeDocument/2006/relationships/hyperlink" Target="https://www.sefaria.org/Siddur_Ashkenaz,_Shabbat,_Maariv,_Amidah,_Sanctity_of_the_Day" TargetMode="External" Id="rId301"/><Relationship Type="http://schemas.openxmlformats.org/officeDocument/2006/relationships/hyperlink" Target="https://www.sefaria.org/Siddur_Ashkenaz,_Shabbat,_Maariv,_Amidah,_Temple_Service" TargetMode="External" Id="rId302"/><Relationship Type="http://schemas.openxmlformats.org/officeDocument/2006/relationships/hyperlink" Target="https://www.sefaria.org/Siddur_Ashkenaz,_Shabbat,_Maariv,_Amidah,_Peace" TargetMode="External" Id="rId303"/><Relationship Type="http://schemas.openxmlformats.org/officeDocument/2006/relationships/hyperlink" Target="https://www.sefaria.org/Siddur_Ashkenaz,_Shabbat,_Maariv,_Amidah,_Concluding_Passage" TargetMode="External" Id="rId304"/><Relationship Type="http://schemas.openxmlformats.org/officeDocument/2006/relationships/hyperlink" Target="https://www.sefaria.org/Siddur_Ashkenaz,_Shabbat,_Maariv,_Vay'chulu" TargetMode="External" Id="rId305"/><Relationship Type="http://schemas.openxmlformats.org/officeDocument/2006/relationships/hyperlink" Target="https://www.sefaria.org/Siddur_Ashkenaz,_Shabbat,_Maariv,_Me'ein_Sheva" TargetMode="External" Id="rId306"/><Relationship Type="http://schemas.openxmlformats.org/officeDocument/2006/relationships/hyperlink" Target="https://www.sefaria.org/Siddur_Ashkenaz,_Shabbat,_Maariv,_Kaddish_Shalem" TargetMode="External" Id="rId307"/><Relationship Type="http://schemas.openxmlformats.org/officeDocument/2006/relationships/hyperlink" Target="https://www.sefaria.org/Siddur_Ashkenaz,_Shabbat,_Maariv,_Aleinu" TargetMode="External" Id="rId308"/><Relationship Type="http://schemas.openxmlformats.org/officeDocument/2006/relationships/hyperlink" Target="https://www.sefaria.org/Siddur_Ashkenaz,_Shabbat,_Maariv,_Mourner's_Kaddish" TargetMode="External" Id="rId309"/><Relationship Type="http://schemas.openxmlformats.org/officeDocument/2006/relationships/hyperlink" Target="https://www.sefaria.org/Siddur_Ashkenaz,_Shabbat,_Maariv,_LeDavid" TargetMode="External" Id="rId310"/><Relationship Type="http://schemas.openxmlformats.org/officeDocument/2006/relationships/hyperlink" Target="https://www.sefaria.org/Siddur_Ashkenaz,_Shabbat,_Maariv,_Yigdal" TargetMode="External" Id="rId311"/><Relationship Type="http://schemas.openxmlformats.org/officeDocument/2006/relationships/hyperlink" Target="https://www.sefaria.org/Siddur_Ashkenaz,_Shabbat,_Maariv,_Adon_Olam" TargetMode="External" Id="rId312"/><Relationship Type="http://schemas.openxmlformats.org/officeDocument/2006/relationships/hyperlink" Target="https://www.sefaria.org/Siddur_Ashkenaz,_Shabbat,_Shabbat_Evening,_Blessing_the_Children" TargetMode="External" Id="rId313"/><Relationship Type="http://schemas.openxmlformats.org/officeDocument/2006/relationships/hyperlink" Target="https://www.sefaria.org/Siddur_Ashkenaz,_Shabbat,_Shabbat_Evening,_Shalom_Aleichem" TargetMode="External" Id="rId314"/><Relationship Type="http://schemas.openxmlformats.org/officeDocument/2006/relationships/hyperlink" Target="https://www.sefaria.org/Siddur_Ashkenaz,_Shabbat,_Shabbat_Evening,_Eshet_Chayil" TargetMode="External" Id="rId315"/><Relationship Type="http://schemas.openxmlformats.org/officeDocument/2006/relationships/hyperlink" Target="https://www.sefaria.org/Siddur_Ashkenaz,_Shabbat,_Shabbat_Evening,_Zemirot_for_Shabbat_Evening,_Menucha_VeSimcha" TargetMode="External" Id="rId316"/><Relationship Type="http://schemas.openxmlformats.org/officeDocument/2006/relationships/hyperlink" Target="https://www.sefaria.org/Siddur_Ashkenaz,_Shabbat,_Shabbat_Evening,_Zemirot_for_Shabbat_Evening,_Yah_Ribon" TargetMode="External" Id="rId317"/><Relationship Type="http://schemas.openxmlformats.org/officeDocument/2006/relationships/hyperlink" Target="https://www.sefaria.org/Siddur_Ashkenaz,_Shabbat,_Shabbat_Evening,_Zemirot_for_Shabbat_Evening,_Tzur_Mishelo" TargetMode="External" Id="rId318"/><Relationship Type="http://schemas.openxmlformats.org/officeDocument/2006/relationships/hyperlink" Target="https://www.sefaria.org/Siddur_Ashkenaz,_Shabbat,_Shacharit,_Pesukei_Dezimra,_Yishtabach" TargetMode="External" Id="rId319"/><Relationship Type="http://schemas.openxmlformats.org/officeDocument/2006/relationships/hyperlink" Target="https://www.sefaria.org/Siddur_Ashkenaz,_Shabbat,_Shacharit,_Blessings_of_the_Shema,_Second_Blessing_before_Shema" TargetMode="External" Id="rId320"/><Relationship Type="http://schemas.openxmlformats.org/officeDocument/2006/relationships/hyperlink" Target="https://www.sefaria.org/Siddur_Ashkenaz,_Shabbat,_Shacharit,_Communal_Prayers,_Prayer_for_Israeli_Soldiers" TargetMode="External" Id="rId321"/><Relationship Type="http://schemas.openxmlformats.org/officeDocument/2006/relationships/hyperlink" Target="https://www.sefaria.org/Siddur_Ashkenaz,_Shabbat,_Shacharit,_Communal_Prayers,_Prayer_for_Those_Being_Held_in_Captivity" TargetMode="External" Id="rId322"/><Relationship Type="http://schemas.openxmlformats.org/officeDocument/2006/relationships/hyperlink" Target="https://www.sefaria.org/Siddur_Ashkenaz,_Festivals,_Sukkot,_Prayers_in_the_Sukkah,_Entering_the_Sukkah" TargetMode="External" Id="rId323"/><Relationship Type="http://schemas.openxmlformats.org/officeDocument/2006/relationships/hyperlink" Target="https://www.sefaria.org/Siddur_Ashkenaz,_Festivals,_Sukkot,_Prayers_in_the_Sukkah,_Leaving_the_Sukkah" TargetMode="External" Id="rId324"/><Relationship Type="http://schemas.openxmlformats.org/officeDocument/2006/relationships/hyperlink" Target="https://www.sefaria.org/Siddur_Ashkenaz,_Festivals,_Chanukah,_Service_for_Lighting_Chanukah_Candles,_Hanerot_Hallalu" TargetMode="External" Id="rId325"/><Relationship Type="http://schemas.openxmlformats.org/officeDocument/2006/relationships/hyperlink" Target="https://www.sefaria.org/Siddur_Sefard,_Upon_Arising,_Modeh_Ani" TargetMode="External" Id="rId326"/><Relationship Type="http://schemas.openxmlformats.org/officeDocument/2006/relationships/hyperlink" Target="https://www.sefaria.org/Siddur_Sefard,_Upon_Arising,_Upon_Entering_Synagogue" TargetMode="External" Id="rId327"/><Relationship Type="http://schemas.openxmlformats.org/officeDocument/2006/relationships/hyperlink" Target="https://www.sefaria.org/Siddur_Sefard,_Weekday_Shacharit,_Morning_Blessings" TargetMode="External" Id="rId328"/><Relationship Type="http://schemas.openxmlformats.org/officeDocument/2006/relationships/hyperlink" Target="https://www.sefaria.org/Siddur_Sefard,_Weekday_Shacharit,_Blessings_on_Torah" TargetMode="External" Id="rId329"/><Relationship Type="http://schemas.openxmlformats.org/officeDocument/2006/relationships/hyperlink" Target="https://www.sefaria.org/Siddur_Sefard,_Weekday_Shacharit,_Morning_Prayer" TargetMode="External" Id="rId330"/><Relationship Type="http://schemas.openxmlformats.org/officeDocument/2006/relationships/hyperlink" Target="https://www.sefaria.org/Siddur_Sefard,_Weekday_Shacharit,_Korbanot" TargetMode="External" Id="rId331"/><Relationship Type="http://schemas.openxmlformats.org/officeDocument/2006/relationships/hyperlink" Target="https://www.sefaria.org/Siddur_Sefard,_Weekday_Shacharit,_B'raita_d'Rabi_Yishmael" TargetMode="External" Id="rId332"/><Relationship Type="http://schemas.openxmlformats.org/officeDocument/2006/relationships/hyperlink" Target="https://www.sefaria.org/Siddur_Sefard,_Weekday_Shacharit,_Hodu" TargetMode="External" Id="rId333"/><Relationship Type="http://schemas.openxmlformats.org/officeDocument/2006/relationships/hyperlink" Target="https://www.sefaria.org/Siddur_Sefard,_Weekday_Shacharit,_Yishtabach" TargetMode="External" Id="rId334"/><Relationship Type="http://schemas.openxmlformats.org/officeDocument/2006/relationships/hyperlink" Target="https://www.sefaria.org/Siddur_Sefard,_Weekday_Shacharit,_Tachanun" TargetMode="External" Id="rId335"/><Relationship Type="http://schemas.openxmlformats.org/officeDocument/2006/relationships/hyperlink" Target="https://www.sefaria.org/Siddur_Sefard,_Weekday_Shacharit,_Avinu_Malkeinu" TargetMode="External" Id="rId336"/><Relationship Type="http://schemas.openxmlformats.org/officeDocument/2006/relationships/hyperlink" Target="https://www.sefaria.org/Siddur_Sefard,_Weekday_Shacharit,_For_Monday_&amp;_Thursday" TargetMode="External" Id="rId337"/><Relationship Type="http://schemas.openxmlformats.org/officeDocument/2006/relationships/hyperlink" Target="https://www.sefaria.org/Siddur_Sefard,_Weekday_Shacharit,_Ashrei" TargetMode="External" Id="rId338"/><Relationship Type="http://schemas.openxmlformats.org/officeDocument/2006/relationships/hyperlink" Target="https://www.sefaria.org/Siddur_Sefard,_Weekday_Shacharit,_Song_of_the_Day" TargetMode="External" Id="rId339"/><Relationship Type="http://schemas.openxmlformats.org/officeDocument/2006/relationships/hyperlink" Target="https://www.sefaria.org/Siddur_Sefard,_Weekday_Shacharit,_Barchi_Nafshi" TargetMode="External" Id="rId340"/><Relationship Type="http://schemas.openxmlformats.org/officeDocument/2006/relationships/hyperlink" Target="https://www.sefaria.org/Siddur_Sefard,_Weekday_Shacharit,_L'David_Hashem" TargetMode="External" Id="rId341"/><Relationship Type="http://schemas.openxmlformats.org/officeDocument/2006/relationships/hyperlink" Target="https://www.sefaria.org/Siddur_Sefard,_Weekday_Shacharit,_Kaveh" TargetMode="External" Id="rId342"/><Relationship Type="http://schemas.openxmlformats.org/officeDocument/2006/relationships/hyperlink" Target="https://www.sefaria.org/Siddur_Sefard,_Weekday_Shacharit,_Aleinu" TargetMode="External" Id="rId343"/><Relationship Type="http://schemas.openxmlformats.org/officeDocument/2006/relationships/hyperlink" Target="https://www.sefaria.org/Siddur_Sefard,_Additional_Prayers_,_Chapter_of_Fear_of_God" TargetMode="External" Id="rId344"/><Relationship Type="http://schemas.openxmlformats.org/officeDocument/2006/relationships/hyperlink" Target="https://www.sefaria.org/Siddur_Sefard,_Additional_Prayers_,_Chapter_of_Repentance" TargetMode="External" Id="rId345"/><Relationship Type="http://schemas.openxmlformats.org/officeDocument/2006/relationships/hyperlink" Target="https://www.sefaria.org/Siddur_Sefard,_Weekday_Mincha,_Korbanot" TargetMode="External" Id="rId346"/><Relationship Type="http://schemas.openxmlformats.org/officeDocument/2006/relationships/hyperlink" Target="https://www.sefaria.org/Siddur_Sefard,_Weekday_Mincha,_Tachanun" TargetMode="External" Id="rId347"/><Relationship Type="http://schemas.openxmlformats.org/officeDocument/2006/relationships/hyperlink" Target="https://www.sefaria.org/Siddur_Sefard,_Weekday_Mincha,_Avinu_Malkeinu" TargetMode="External" Id="rId348"/><Relationship Type="http://schemas.openxmlformats.org/officeDocument/2006/relationships/hyperlink" Target="https://www.sefaria.org/Siddur_Sefard,_Weekday_Maariv,_Motzaei_Shabbat" TargetMode="External" Id="rId349"/><Relationship Type="http://schemas.openxmlformats.org/officeDocument/2006/relationships/hyperlink" Target="https://www.sefaria.org/Siddur_Sefard,_Bedtime_Shema" TargetMode="External" Id="rId350"/><Relationship Type="http://schemas.openxmlformats.org/officeDocument/2006/relationships/hyperlink" Target="https://www.sefaria.org/Siddur_Sefard,_Shabbat_Evening_Meal,_Eishet_Chayil" TargetMode="External" Id="rId351"/><Relationship Type="http://schemas.openxmlformats.org/officeDocument/2006/relationships/hyperlink" Target="https://www.sefaria.org/Siddur_Sefard,_Shabbat_Morning_Services,_Bar_Mitzva" TargetMode="External" Id="rId352"/><Relationship Type="http://schemas.openxmlformats.org/officeDocument/2006/relationships/hyperlink" Target="https://www.sefaria.org/Siddur_Sefard,_Shabbat_Morning_Services,_Hagbahah" TargetMode="External" Id="rId353"/><Relationship Type="http://schemas.openxmlformats.org/officeDocument/2006/relationships/hyperlink" Target="https://www.sefaria.org/Siddur_Sefard,_Shabbat_Morning_Services,_Prayer_for_Deceased" TargetMode="External" Id="rId354"/><Relationship Type="http://schemas.openxmlformats.org/officeDocument/2006/relationships/hyperlink" Target="https://www.sefaria.org/Siddur_Sefard,_Sukkot,_First_Day_&amp;_Chol_HaMoed" TargetMode="External" Id="rId355"/><Relationship Type="http://schemas.openxmlformats.org/officeDocument/2006/relationships/hyperlink" Target="https://www.sefaria.org/Shabbat_Siddur_Sefard_Linear,_Candle_Lighting,_Candle_Lighting_for_Yom_Tov" TargetMode="External" Id="rId356"/><Relationship Type="http://schemas.openxmlformats.org/officeDocument/2006/relationships/hyperlink" Target="https://www.sefaria.org/Shabbat_Siddur_Sefard_Linear,_Candle_Lighting,_Candle_Lighting_when_Shabbos_occurs_on_Yom_Tov" TargetMode="External" Id="rId357"/><Relationship Type="http://schemas.openxmlformats.org/officeDocument/2006/relationships/hyperlink" Target="https://www.sefaria.org/Shabbat_Siddur_Sefard_Linear,_Song_of_Songs.1" TargetMode="External" Id="rId358"/><Relationship Type="http://schemas.openxmlformats.org/officeDocument/2006/relationships/hyperlink" Target="https://www.sefaria.org/Shabbat_Siddur_Sefard_Linear,_Song_of_Songs.2" TargetMode="External" Id="rId359"/><Relationship Type="http://schemas.openxmlformats.org/officeDocument/2006/relationships/hyperlink" Target="https://www.sefaria.org/Shabbat_Siddur_Sefard_Linear,_Song_of_Songs.3" TargetMode="External" Id="rId360"/><Relationship Type="http://schemas.openxmlformats.org/officeDocument/2006/relationships/hyperlink" Target="https://www.sefaria.org/Shabbat_Siddur_Sefard_Linear,_Song_of_Songs.4" TargetMode="External" Id="rId361"/><Relationship Type="http://schemas.openxmlformats.org/officeDocument/2006/relationships/hyperlink" Target="https://www.sefaria.org/Shabbat_Siddur_Sefard_Linear,_Song_of_Songs.5" TargetMode="External" Id="rId362"/><Relationship Type="http://schemas.openxmlformats.org/officeDocument/2006/relationships/hyperlink" Target="https://www.sefaria.org/Shabbat_Siddur_Sefard_Linear,_Song_of_Songs.6" TargetMode="External" Id="rId363"/><Relationship Type="http://schemas.openxmlformats.org/officeDocument/2006/relationships/hyperlink" Target="https://www.sefaria.org/Shabbat_Siddur_Sefard_Linear,_Song_of_Songs.7" TargetMode="External" Id="rId364"/><Relationship Type="http://schemas.openxmlformats.org/officeDocument/2006/relationships/hyperlink" Target="https://www.sefaria.org/Shabbat_Siddur_Sefard_Linear,_Song_of_Songs.8" TargetMode="External" Id="rId365"/><Relationship Type="http://schemas.openxmlformats.org/officeDocument/2006/relationships/hyperlink" Target="https://www.sefaria.org/Shabbat_Siddur_Sefard_Linear,_Mincha_Service_for_Erev_Shabbos,_Psalm_107" TargetMode="External" Id="rId366"/><Relationship Type="http://schemas.openxmlformats.org/officeDocument/2006/relationships/hyperlink" Target="https://www.sefaria.org/Shabbat_Siddur_Sefard_Linear,_Mincha_Service_for_Erev_Shabbos,_Aleinu" TargetMode="External" Id="rId367"/><Relationship Type="http://schemas.openxmlformats.org/officeDocument/2006/relationships/hyperlink" Target="https://www.sefaria.org/Shabbat_Siddur_Sefard_Linear,_Kabbalas_Shabbos,_Psalm_95" TargetMode="External" Id="rId368"/><Relationship Type="http://schemas.openxmlformats.org/officeDocument/2006/relationships/hyperlink" Target="https://www.sefaria.org/Shabbat_Siddur_Sefard_Linear,_Kabbalas_Shabbos,_Psalm_96" TargetMode="External" Id="rId369"/><Relationship Type="http://schemas.openxmlformats.org/officeDocument/2006/relationships/hyperlink" Target="https://www.sefaria.org/Shabbat_Siddur_Sefard_Linear,_Kabbalas_Shabbos,_Psalm_97" TargetMode="External" Id="rId370"/><Relationship Type="http://schemas.openxmlformats.org/officeDocument/2006/relationships/hyperlink" Target="https://www.sefaria.org/Shabbat_Siddur_Sefard_Linear,_Kabbalas_Shabbos,_Psalm_98" TargetMode="External" Id="rId371"/><Relationship Type="http://schemas.openxmlformats.org/officeDocument/2006/relationships/hyperlink" Target="https://www.sefaria.org/Shabbat_Siddur_Sefard_Linear,_Kabbalas_Shabbos,_Psalm_29" TargetMode="External" Id="rId372"/><Relationship Type="http://schemas.openxmlformats.org/officeDocument/2006/relationships/hyperlink" Target="https://www.sefaria.org/Shabbat_Siddur_Sefard_Linear,_Kabbalas_Shabbos,_Psalm_92" TargetMode="External" Id="rId373"/><Relationship Type="http://schemas.openxmlformats.org/officeDocument/2006/relationships/hyperlink" Target="https://www.sefaria.org/Shabbat_Siddur_Sefard_Linear,_Kabbalas_Shabbos,_Psalm_93" TargetMode="External" Id="rId374"/><Relationship Type="http://schemas.openxmlformats.org/officeDocument/2006/relationships/hyperlink" Target="https://www.sefaria.org/Shabbat_Siddur_Sefard_Linear,_Maariv_Service_for_Shabbos_and_Yom_Tov,_Aleinu" TargetMode="External" Id="rId375"/><Relationship Type="http://schemas.openxmlformats.org/officeDocument/2006/relationships/hyperlink" Target="https://www.sefaria.org/Shabbat_Siddur_Sefard_Linear,_Songs_for_Shabbos_Eve,_Kol_Mekadesh" TargetMode="External" Id="rId376"/><Relationship Type="http://schemas.openxmlformats.org/officeDocument/2006/relationships/hyperlink" Target="https://www.sefaria.org/Shabbat_Siddur_Sefard_Linear,_Birchas_Hamazon,_The_Seven_Marriage_Blessings" TargetMode="External" Id="rId377"/><Relationship Type="http://schemas.openxmlformats.org/officeDocument/2006/relationships/hyperlink" Target="https://www.sefaria.org/Shabbat_Siddur_Sefard_Linear,_The_Morning_Prayers,_Blessings_Upon_Arising" TargetMode="External" Id="rId378"/><Relationship Type="http://schemas.openxmlformats.org/officeDocument/2006/relationships/hyperlink" Target="https://www.sefaria.org/Shabbat_Siddur_Sefard_Linear,_The_Morning_Prayers,_Blessings_of_the_Torah" TargetMode="External" Id="rId379"/><Relationship Type="http://schemas.openxmlformats.org/officeDocument/2006/relationships/hyperlink" Target="https://www.sefaria.org/Shabbat_Siddur_Sefard_Linear,_The_Morning_Prayers,_Psalm_92" TargetMode="External" Id="rId380"/><Relationship Type="http://schemas.openxmlformats.org/officeDocument/2006/relationships/hyperlink" Target="https://www.sefaria.org/Shabbat_Siddur_Sefard_Linear,_The_Morning_Prayers,_Psalm_93" TargetMode="External" Id="rId381"/><Relationship Type="http://schemas.openxmlformats.org/officeDocument/2006/relationships/hyperlink" Target="https://www.sefaria.org/Shabbat_Siddur_Sefard_Linear,_Musaf_Service,_Aleinu" TargetMode="External" Id="rId382"/><Relationship Type="http://schemas.openxmlformats.org/officeDocument/2006/relationships/hyperlink" Target="https://www.sefaria.org/Shabbat_Siddur_Sefard_Linear,_Musaf_Service,_Adon_Olam" TargetMode="External" Id="rId383"/><Relationship Type="http://schemas.openxmlformats.org/officeDocument/2006/relationships/hyperlink" Target="https://www.sefaria.org/Shabbat_Siddur_Sefard_Linear,_Songs_for_Shabbos_Morning,_Baruch_Hashem_Yom_Yom" TargetMode="External" Id="rId384"/><Relationship Type="http://schemas.openxmlformats.org/officeDocument/2006/relationships/hyperlink" Target="https://www.sefaria.org/Shabbat_Siddur_Sefard_Linear,_Songs_for_Shabbos_Morning,_Dror_Yikra" TargetMode="External" Id="rId385"/><Relationship Type="http://schemas.openxmlformats.org/officeDocument/2006/relationships/hyperlink" Target="https://www.sefaria.org/Shabbat_Siddur_Sefard_Linear,_Mincha_Service_for_Shabbos_and_Yom_Tov,_Ashrei" TargetMode="External" Id="rId386"/><Relationship Type="http://schemas.openxmlformats.org/officeDocument/2006/relationships/hyperlink" Target="https://www.sefaria.org/Shabbat_Siddur_Sefard_Linear,_Mincha_Service_for_Shabbos_and_Yom_Tov,_Aleinu" TargetMode="External" Id="rId387"/><Relationship Type="http://schemas.openxmlformats.org/officeDocument/2006/relationships/hyperlink" Target="https://www.sefaria.org/Shabbat_Siddur_Sefard_Linear,_Maariv_Service_for_the_Conclusion_of_Shabbos,_Aleinu" TargetMode="External" Id="rId388"/><Relationship Type="http://schemas.openxmlformats.org/officeDocument/2006/relationships/hyperlink" Target="https://www.sefaria.org/Weekday_Siddur_Sefard_Linear,_The_Morning_Prayers,_Blessings_Upon_Arising" TargetMode="External" Id="rId389"/><Relationship Type="http://schemas.openxmlformats.org/officeDocument/2006/relationships/hyperlink" Target="https://www.sefaria.org/Weekday_Siddur_Sefard_Linear,_The_Morning_Prayers,_Blessings_of_the_Torah" TargetMode="External" Id="rId390"/><Relationship Type="http://schemas.openxmlformats.org/officeDocument/2006/relationships/hyperlink" Target="https://www.sefaria.org/Pesach_Haggadah,_Kadesh" TargetMode="External" Id="rId391"/><Relationship Type="http://schemas.openxmlformats.org/officeDocument/2006/relationships/hyperlink" Target="https://www.sefaria.org/Pesach_Haggadah,_Karpas" TargetMode="External" Id="rId392"/><Relationship Type="http://schemas.openxmlformats.org/officeDocument/2006/relationships/hyperlink" Target="https://www.sefaria.org/Pesach_Haggadah,_Yachatz" TargetMode="External" Id="rId393"/><Relationship Type="http://schemas.openxmlformats.org/officeDocument/2006/relationships/hyperlink" Target="https://www.sefaria.org/Pesach_Haggadah,_Magid,_Ha_Lachma_Anya" TargetMode="External" Id="rId394"/><Relationship Type="http://schemas.openxmlformats.org/officeDocument/2006/relationships/hyperlink" Target="https://www.sefaria.org/Pesach_Haggadah,_Magid,_Four_Questions" TargetMode="External" Id="rId395"/><Relationship Type="http://schemas.openxmlformats.org/officeDocument/2006/relationships/hyperlink" Target="https://www.sefaria.org/Pesach_Haggadah,_Magid,_Story_of_the_Five_Rabbis" TargetMode="External" Id="rId396"/><Relationship Type="http://schemas.openxmlformats.org/officeDocument/2006/relationships/hyperlink" Target="https://www.sefaria.org/Pesach_Haggadah,_Magid,_The_Four_Sons" TargetMode="External" Id="rId397"/><Relationship Type="http://schemas.openxmlformats.org/officeDocument/2006/relationships/hyperlink" Target="https://www.sefaria.org/Pesach_Haggadah,_Magid,_Yechol_Me'rosh_Chodesh" TargetMode="External" Id="rId398"/><Relationship Type="http://schemas.openxmlformats.org/officeDocument/2006/relationships/hyperlink" Target="https://www.sefaria.org/Pesach_Haggadah,_Magid,_In_the_Beginning_Our_Fathers_Were_Idol_Worshipers" TargetMode="External" Id="rId399"/><Relationship Type="http://schemas.openxmlformats.org/officeDocument/2006/relationships/hyperlink" Target="https://www.sefaria.org/Pesach_Haggadah,_Magid,_Dayenu" TargetMode="External" Id="rId400"/><Relationship Type="http://schemas.openxmlformats.org/officeDocument/2006/relationships/hyperlink" Target="https://www.sefaria.org/Pesach_Haggadah,_Magid,_Rabban_Gamliel's_Three_Things" TargetMode="External" Id="rId401"/><Relationship Type="http://schemas.openxmlformats.org/officeDocument/2006/relationships/hyperlink" Target="https://www.sefaria.org/Pesach_Haggadah,_Magid,_First_Half_of_Hallel" TargetMode="External" Id="rId402"/><Relationship Type="http://schemas.openxmlformats.org/officeDocument/2006/relationships/hyperlink" Target="https://www.sefaria.org/Pesach_Haggadah,_Magid,_Second_Cup_of_Wine" TargetMode="External" Id="rId403"/><Relationship Type="http://schemas.openxmlformats.org/officeDocument/2006/relationships/hyperlink" Target="https://www.sefaria.org/Pesach_Haggadah,_Rachtzah" TargetMode="External" Id="rId404"/><Relationship Type="http://schemas.openxmlformats.org/officeDocument/2006/relationships/hyperlink" Target="https://www.sefaria.org/Pesach_Haggadah,_Shulchan_Orech" TargetMode="External" Id="rId405"/><Relationship Type="http://schemas.openxmlformats.org/officeDocument/2006/relationships/hyperlink" Target="https://www.sefaria.org/Pesach_Haggadah,_Barech,_Third_Cup_of_Wine" TargetMode="External" Id="rId406"/><Relationship Type="http://schemas.openxmlformats.org/officeDocument/2006/relationships/hyperlink" Target="https://www.sefaria.org/Pesach_Haggadah,_Barech,_Pour_Out_Thy_Wrath" TargetMode="External" Id="rId407"/><Relationship Type="http://schemas.openxmlformats.org/officeDocument/2006/relationships/hyperlink" Target="https://www.sefaria.org/Pesach_Haggadah,_Hallel,_Songs_of_Praise_and_Thanks" TargetMode="External" Id="rId408"/><Relationship Type="http://schemas.openxmlformats.org/officeDocument/2006/relationships/hyperlink" Target="https://www.sefaria.org/Pesach_Haggadah,_Nirtzah,_Chasal_Siddur_Pesach" TargetMode="External" Id="rId409"/><Relationship Type="http://schemas.openxmlformats.org/officeDocument/2006/relationships/hyperlink" Target="https://www.sefaria.org/Pesach_Haggadah,_Nirtzah,_L'Shana_HaBaa" TargetMode="External" Id="rId410"/><Relationship Type="http://schemas.openxmlformats.org/officeDocument/2006/relationships/hyperlink" Target="https://www.sefaria.org/Pesach_Haggadah,_Nirtzah,_Ki_Lo_Na'e" TargetMode="External" Id="rId411"/><Relationship Type="http://schemas.openxmlformats.org/officeDocument/2006/relationships/hyperlink" Target="https://www.sefaria.org/Pesach_Haggadah,_Nirtzah,_Adir_Hu" TargetMode="External" Id="rId412"/><Relationship Type="http://schemas.openxmlformats.org/officeDocument/2006/relationships/hyperlink" Target="https://www.sefaria.org/Pesach_Haggadah,_Nirtzah,_Sefirat_HaOmer" TargetMode="External" Id="rId413"/><Relationship Type="http://schemas.openxmlformats.org/officeDocument/2006/relationships/hyperlink" Target="https://www.sefaria.org/Pesach_Haggadah,_Nirtzah,_Echad_Mi_Yodea" TargetMode="External" Id="rId414"/><Relationship Type="http://schemas.openxmlformats.org/officeDocument/2006/relationships/hyperlink" Target="https://www.sefaria.org/Pesach_Haggadah,_Nirtzah,_Chad_Gadya" TargetMode="External" Id="rId415"/><Relationship Type="http://schemas.openxmlformats.org/officeDocument/2006/relationships/hyperlink" Target="https://www.sefaria.org/Machzor_Rosh_Hashanah_Ashkenaz,_Mincha_for_Erev_Rosh_Hashana,_Mourner's_Kaddish" TargetMode="External" Id="rId416"/><Relationship Type="http://schemas.openxmlformats.org/officeDocument/2006/relationships/hyperlink" Target="https://www.sefaria.org/Machzor_Rosh_Hashanah_Ashkenaz,_Maariv,_Mourner's_Kaddish" TargetMode="External" Id="rId417"/><Relationship Type="http://schemas.openxmlformats.org/officeDocument/2006/relationships/hyperlink" Target="https://www.sefaria.org/Machzor_Rosh_Hashanah_Ashkenaz,_The_Morning_Prayers,_Blessings_Upon_Arising" TargetMode="External" Id="rId418"/><Relationship Type="http://schemas.openxmlformats.org/officeDocument/2006/relationships/hyperlink" Target="https://www.sefaria.org/Machzor_Rosh_Hashanah_Ashkenaz,_The_Morning_Prayers,_Blessings_of_the_Torah" TargetMode="External" Id="rId419"/><Relationship Type="http://schemas.openxmlformats.org/officeDocument/2006/relationships/hyperlink" Target="https://www.sefaria.org/Machzor_Rosh_Hashanah_Ashkenaz,_The_Morning_Prayers,_Mourner's_Kaddish" TargetMode="External" Id="rId420"/><Relationship Type="http://schemas.openxmlformats.org/officeDocument/2006/relationships/hyperlink" Target="https://www.sefaria.org/Machzor_Rosh_Hashanah_Ashkenaz,_The_Morning_Prayers,_First_Day_of_Rosh_Hashana,_The_King" TargetMode="External" Id="rId421"/><Relationship Type="http://schemas.openxmlformats.org/officeDocument/2006/relationships/hyperlink" Target="https://www.sefaria.org/Machzor_Rosh_Hashanah_Ashkenaz,_The_Morning_Prayers,_First_Day_of_Rosh_Hashana,_Sancification_of_the_Day" TargetMode="External" Id="rId422"/><Relationship Type="http://schemas.openxmlformats.org/officeDocument/2006/relationships/hyperlink" Target="https://www.sefaria.org/Machzor_Rosh_Hashanah_Ashkenaz,_The_Morning_Prayers,_Second_Day_of_Rosh_Hashana,_Sancification_of_the_Day" TargetMode="External" Id="rId423"/><Relationship Type="http://schemas.openxmlformats.org/officeDocument/2006/relationships/hyperlink" Target="https://www.sefaria.org/Machzor_Rosh_Hashanah_Ashkenaz,_Reading_of_the_Torah,_Yekum_Purkon" TargetMode="External" Id="rId424"/><Relationship Type="http://schemas.openxmlformats.org/officeDocument/2006/relationships/hyperlink" Target="https://www.sefaria.org/Machzor_Rosh_Hashanah_Ashkenaz,_Musaf,_First_Day_of_Rosh_Hashana,_Kaddish_d'Rabanan" TargetMode="External" Id="rId425"/><Relationship Type="http://schemas.openxmlformats.org/officeDocument/2006/relationships/hyperlink" Target="https://www.sefaria.org/Machzor_Rosh_Hashanah_Ashkenaz,_Musaf,_First_Day_of_Rosh_Hashana,_Aleinu" TargetMode="External" Id="rId426"/><Relationship Type="http://schemas.openxmlformats.org/officeDocument/2006/relationships/hyperlink" Target="https://www.sefaria.org/Machzor_Rosh_Hashanah_Ashkenaz,_Musaf,_Second_Day_of_Rosh_Hashana,_Kaddish_d'Rabanan" TargetMode="External" Id="rId427"/><Relationship Type="http://schemas.openxmlformats.org/officeDocument/2006/relationships/hyperlink" Target="https://www.sefaria.org/Machzor_Rosh_Hashanah_Ashkenaz,_Musaf,_Second_Day_of_Rosh_Hashana,_Aleinu" TargetMode="External" Id="rId428"/><Relationship Type="http://schemas.openxmlformats.org/officeDocument/2006/relationships/hyperlink" Target="https://www.sefaria.org/Machzor_Rosh_Hashanah_Ashkenaz,_Mincha,_Aleinu" TargetMode="External" Id="rId429"/><Relationship Type="http://schemas.openxmlformats.org/officeDocument/2006/relationships/hyperlink" Target="https://www.sefaria.org/Machzor_Rosh_Hashanah_Ashkenaz,_Mincha,_Mourner's_Kaddish" TargetMode="External" Id="rId430"/><Relationship Type="http://schemas.openxmlformats.org/officeDocument/2006/relationships/hyperlink" Target="https://www.sefaria.org/Machzor_Rosh_Hashanah_Ashkenaz_Linear,_Mincha_for_Erev_Rosh_Hashana,_Mourner's_Kaddish" TargetMode="External" Id="rId431"/><Relationship Type="http://schemas.openxmlformats.org/officeDocument/2006/relationships/hyperlink" Target="https://www.sefaria.org/Machzor_Rosh_Hashanah_Ashkenaz_Linear,_Maariv,_Mourner's_Kaddish" TargetMode="External" Id="rId432"/><Relationship Type="http://schemas.openxmlformats.org/officeDocument/2006/relationships/hyperlink" Target="https://www.sefaria.org/Machzor_Rosh_Hashanah_Ashkenaz_Linear,_The_Morning_Prayers,_Blessings_Upon_Arising" TargetMode="External" Id="rId433"/><Relationship Type="http://schemas.openxmlformats.org/officeDocument/2006/relationships/hyperlink" Target="https://www.sefaria.org/Machzor_Rosh_Hashanah_Ashkenaz_Linear,_The_Morning_Prayers,_Mourner's_Kaddish" TargetMode="External" Id="rId434"/><Relationship Type="http://schemas.openxmlformats.org/officeDocument/2006/relationships/hyperlink" Target="https://www.sefaria.org/Machzor_Rosh_Hashanah_Ashkenaz_Linear,_The_Morning_Prayers,_Second_Day_of_Rosh_Hashana,_Sancification_of_the_Day" TargetMode="External" Id="rId435"/><Relationship Type="http://schemas.openxmlformats.org/officeDocument/2006/relationships/hyperlink" Target="https://www.sefaria.org/Machzor_Rosh_Hashanah_Ashkenaz_Linear,_Musaf,_First_Day_of_Rosh_Hashana,_Kaddish_d'Rabanan" TargetMode="External" Id="rId436"/><Relationship Type="http://schemas.openxmlformats.org/officeDocument/2006/relationships/hyperlink" Target="https://www.sefaria.org/Machzor_Rosh_Hashanah_Ashkenaz_Linear,_Musaf,_Second_Day_of_Rosh_Hashana,_Kaddish_d'Rabanan" TargetMode="External" Id="rId437"/><Relationship Type="http://schemas.openxmlformats.org/officeDocument/2006/relationships/hyperlink" Target="https://www.sefaria.org/Machzor_Rosh_Hashanah_Ashkenaz_Linear,_Mincha,_Mourner's_Kaddish" TargetMode="External" Id="rId438"/><Relationship Type="http://schemas.openxmlformats.org/officeDocument/2006/relationships/hyperlink" Target="https://www.sefaria.org/Machzor_Yom_Kippur_Ashkenaz_Linear,_Maariv_Service_for_Yom_Kippur_Eve,_Mourner's_Kaddish" TargetMode="External" Id="rId439"/><Relationship Type="http://schemas.openxmlformats.org/officeDocument/2006/relationships/hyperlink" Target="https://www.sefaria.org/Machzor_Yom_Kippur_Ashkenaz_Linear,_The_Morning_Prayers,_Blessings_Upon_Arising" TargetMode="External" Id="rId440"/><Relationship Type="http://schemas.openxmlformats.org/officeDocument/2006/relationships/hyperlink" Target="https://www.sefaria.org/Machzor_Yom_Kippur_Ashkenaz_Linear,_The_Morning_Prayers,_Blessings_of_the_Torah" TargetMode="External" Id="rId441"/><Relationship Type="http://schemas.openxmlformats.org/officeDocument/2006/relationships/hyperlink" Target="https://www.sefaria.org/Machzor_Yom_Kippur_Ashkenaz_Linear,_The_Morning_Prayers,_Mourner's_Kaddish" TargetMode="External" Id="rId442"/><Relationship Type="http://schemas.openxmlformats.org/officeDocument/2006/relationships/hyperlink" Target="https://www.sefaria.org/Selichot_Nusach_Ashkenaz_Lita,_First_Day.2" TargetMode="External" Id="rId443"/><Relationship Type="http://schemas.openxmlformats.org/officeDocument/2006/relationships/hyperlink" Target="https://www.sefaria.org/Selichot_Nusach_Ashkenaz_Lita,_First_Day.7" TargetMode="External" Id="rId444"/><Relationship Type="http://schemas.openxmlformats.org/officeDocument/2006/relationships/hyperlink" Target="https://www.sefaria.org/Selichot_Nusach_Ashkenaz_Lita,_First_Day.9" TargetMode="External" Id="rId445"/><Relationship Type="http://schemas.openxmlformats.org/officeDocument/2006/relationships/hyperlink" Target="https://www.sefaria.org/Selichot_Nusach_Ashkenaz_Lita,_Second_Day.6" TargetMode="External" Id="rId446"/><Relationship Type="http://schemas.openxmlformats.org/officeDocument/2006/relationships/hyperlink" Target="https://www.sefaria.org/Selichot_Nusach_Ashkenaz_Lita,_Third_Day.6" TargetMode="External" Id="rId447"/><Relationship Type="http://schemas.openxmlformats.org/officeDocument/2006/relationships/hyperlink" Target="https://www.sefaria.org/Selichot_Nusach_Ashkenaz_Lita,_Fourth_Day.6" TargetMode="External" Id="rId448"/><Relationship Type="http://schemas.openxmlformats.org/officeDocument/2006/relationships/hyperlink" Target="https://www.sefaria.org/Selichot_Nusach_Ashkenaz_Lita,_Fifth_Day.6" TargetMode="External" Id="rId449"/><Relationship Type="http://schemas.openxmlformats.org/officeDocument/2006/relationships/hyperlink" Target="https://www.sefaria.org/Selichot_Nusach_Ashkenaz_Lita,_Sixth_Day.6" TargetMode="External" Id="rId450"/><Relationship Type="http://schemas.openxmlformats.org/officeDocument/2006/relationships/hyperlink" Target="https://www.sefaria.org/Selichot_Nusach_Ashkenaz_Lita,_Seventh_Day.6" TargetMode="External" Id="rId451"/><Relationship Type="http://schemas.openxmlformats.org/officeDocument/2006/relationships/hyperlink" Target="https://www.sefaria.org/Selichot_Nusach_Ashkenaz_Lita,_Erev_Rosh_Hashana.23" TargetMode="External" Id="rId452"/><Relationship Type="http://schemas.openxmlformats.org/officeDocument/2006/relationships/hyperlink" Target="https://www.sefaria.org/Selichot_Nusach_Ashkenaz_Lita,_Fast_of_Gedaliah.2" TargetMode="External" Id="rId453"/><Relationship Type="http://schemas.openxmlformats.org/officeDocument/2006/relationships/hyperlink" Target="https://www.sefaria.org/Selichot_Nusach_Ashkenaz_Lita,_Second_Day_of_the_Ten_Days_of_Penitence.2" TargetMode="External" Id="rId454"/><Relationship Type="http://schemas.openxmlformats.org/officeDocument/2006/relationships/hyperlink" Target="https://www.sefaria.org/Selichot_Nusach_Ashkenaz_Lita,_Third_Day_of_the_Ten_Days_of_Penitence.2" TargetMode="External" Id="rId455"/><Relationship Type="http://schemas.openxmlformats.org/officeDocument/2006/relationships/hyperlink" Target="https://www.sefaria.org/Selichot_Nusach_Ashkenaz_Lita,_Fourth_Day_of_the_Ten_Days_of_Penitence.2" TargetMode="External" Id="rId456"/><Relationship Type="http://schemas.openxmlformats.org/officeDocument/2006/relationships/hyperlink" Target="https://www.sefaria.org/Selichot_Nusach_Ashkenaz_Lita,_Fifth_Day_of_the_Ten_Days_of_Penitence.2" TargetMode="External" Id="rId457"/><Relationship Type="http://schemas.openxmlformats.org/officeDocument/2006/relationships/hyperlink" Target="https://www.sefaria.org/Selichot_Nusach_Lita_Linear,_First_Day.2" TargetMode="External" Id="rId458"/><Relationship Type="http://schemas.openxmlformats.org/officeDocument/2006/relationships/hyperlink" Target="https://www.sefaria.org/Selichot_Nusach_Lita_Linear,_First_Day.7" TargetMode="External" Id="rId459"/><Relationship Type="http://schemas.openxmlformats.org/officeDocument/2006/relationships/hyperlink" Target="https://www.sefaria.org/Selichot_Nusach_Lita_Linear,_First_Day.9" TargetMode="External" Id="rId460"/><Relationship Type="http://schemas.openxmlformats.org/officeDocument/2006/relationships/hyperlink" Target="https://www.sefaria.org/Selichot_Nusach_Lita_Linear,_Second_Day.6" TargetMode="External" Id="rId461"/><Relationship Type="http://schemas.openxmlformats.org/officeDocument/2006/relationships/hyperlink" Target="https://www.sefaria.org/Selichot_Nusach_Lita_Linear,_Third_Day.6" TargetMode="External" Id="rId462"/><Relationship Type="http://schemas.openxmlformats.org/officeDocument/2006/relationships/hyperlink" Target="https://www.sefaria.org/Selichot_Nusach_Lita_Linear,_Fourth_Day.6" TargetMode="External" Id="rId463"/><Relationship Type="http://schemas.openxmlformats.org/officeDocument/2006/relationships/hyperlink" Target="https://www.sefaria.org/Selichot_Nusach_Lita_Linear,_Fifth_Day.6" TargetMode="External" Id="rId464"/><Relationship Type="http://schemas.openxmlformats.org/officeDocument/2006/relationships/hyperlink" Target="https://www.sefaria.org/Selichot_Nusach_Lita_Linear,_Sixth_Day.6" TargetMode="External" Id="rId465"/><Relationship Type="http://schemas.openxmlformats.org/officeDocument/2006/relationships/hyperlink" Target="https://www.sefaria.org/Selichot_Nusach_Lita_Linear,_Seventh_Day.6" TargetMode="External" Id="rId466"/><Relationship Type="http://schemas.openxmlformats.org/officeDocument/2006/relationships/hyperlink" Target="https://www.sefaria.org/Selichot_Nusach_Lita_Linear,_Erev_Rosh_Hashana.23" TargetMode="External" Id="rId467"/><Relationship Type="http://schemas.openxmlformats.org/officeDocument/2006/relationships/hyperlink" Target="https://www.sefaria.org/Selichot_Nusach_Lita_Linear,_Fast_of_Gedaliah.2" TargetMode="External" Id="rId468"/><Relationship Type="http://schemas.openxmlformats.org/officeDocument/2006/relationships/hyperlink" Target="https://www.sefaria.org/Selichot_Nusach_Lita_Linear,_Second_Day_of_the_Ten_Days_of_Penitence.2" TargetMode="External" Id="rId469"/><Relationship Type="http://schemas.openxmlformats.org/officeDocument/2006/relationships/hyperlink" Target="https://www.sefaria.org/Selichot_Nusach_Lita_Linear,_Third_Day_of_the_Ten_Days_of_Penitence.2" TargetMode="External" Id="rId470"/><Relationship Type="http://schemas.openxmlformats.org/officeDocument/2006/relationships/hyperlink" Target="https://www.sefaria.org/Selichot_Nusach_Lita_Linear,_Fourth_Day_of_the_Ten_Days_of_Penitence.2" TargetMode="External" Id="rId471"/><Relationship Type="http://schemas.openxmlformats.org/officeDocument/2006/relationships/hyperlink" Target="https://www.sefaria.org/Selichot_Nusach_Lita_Linear,_Fifth_Day_of_the_Ten_Days_of_Penitence.2" TargetMode="External" Id="rId472"/><Relationship Type="http://schemas.openxmlformats.org/officeDocument/2006/relationships/hyperlink" Target="https://www.sefaria.org/Keter_Malkhut.1" TargetMode="External" Id="rId473"/><Relationship Type="http://schemas.openxmlformats.org/officeDocument/2006/relationships/hyperlink" Target="https://www.sefaria.org/Keter_Malkhut.2" TargetMode="External" Id="rId474"/><Relationship Type="http://schemas.openxmlformats.org/officeDocument/2006/relationships/hyperlink" Target="https://www.sefaria.org/Keter_Malkhut.3" TargetMode="External" Id="rId475"/><Relationship Type="http://schemas.openxmlformats.org/officeDocument/2006/relationships/hyperlink" Target="https://www.sefaria.org/Keter_Malkhut.4" TargetMode="External" Id="rId476"/><Relationship Type="http://schemas.openxmlformats.org/officeDocument/2006/relationships/hyperlink" Target="https://www.sefaria.org/Keter_Malkhut.5" TargetMode="External" Id="rId477"/><Relationship Type="http://schemas.openxmlformats.org/officeDocument/2006/relationships/hyperlink" Target="https://www.sefaria.org/Keter_Malkhut.6" TargetMode="External" Id="rId478"/><Relationship Type="http://schemas.openxmlformats.org/officeDocument/2006/relationships/hyperlink" Target="https://www.sefaria.org/Keter_Malkhut.7" TargetMode="External" Id="rId479"/><Relationship Type="http://schemas.openxmlformats.org/officeDocument/2006/relationships/hyperlink" Target="https://www.sefaria.org/Keter_Malkhut.8" TargetMode="External" Id="rId480"/><Relationship Type="http://schemas.openxmlformats.org/officeDocument/2006/relationships/hyperlink" Target="https://www.sefaria.org/Keter_Malkhut.9" TargetMode="External" Id="rId481"/><Relationship Type="http://schemas.openxmlformats.org/officeDocument/2006/relationships/hyperlink" Target="https://www.sefaria.org/Keter_Malkhut.10" TargetMode="External" Id="rId482"/><Relationship Type="http://schemas.openxmlformats.org/officeDocument/2006/relationships/hyperlink" Target="https://www.sefaria.org/Keter_Malkhut.11" TargetMode="External" Id="rId483"/><Relationship Type="http://schemas.openxmlformats.org/officeDocument/2006/relationships/hyperlink" Target="https://www.sefaria.org/Keter_Malkhut.12" TargetMode="External" Id="rId484"/><Relationship Type="http://schemas.openxmlformats.org/officeDocument/2006/relationships/hyperlink" Target="https://www.sefaria.org/Keter_Malkhut.13" TargetMode="External" Id="rId485"/><Relationship Type="http://schemas.openxmlformats.org/officeDocument/2006/relationships/hyperlink" Target="https://www.sefaria.org/Keter_Malkhut.14" TargetMode="External" Id="rId486"/><Relationship Type="http://schemas.openxmlformats.org/officeDocument/2006/relationships/hyperlink" Target="https://www.sefaria.org/Keter_Malkhut.15" TargetMode="External" Id="rId487"/><Relationship Type="http://schemas.openxmlformats.org/officeDocument/2006/relationships/hyperlink" Target="https://www.sefaria.org/Keter_Malkhut.16" TargetMode="External" Id="rId488"/><Relationship Type="http://schemas.openxmlformats.org/officeDocument/2006/relationships/hyperlink" Target="https://www.sefaria.org/Keter_Malkhut.17" TargetMode="External" Id="rId489"/><Relationship Type="http://schemas.openxmlformats.org/officeDocument/2006/relationships/hyperlink" Target="https://www.sefaria.org/Keter_Malkhut.18" TargetMode="External" Id="rId490"/><Relationship Type="http://schemas.openxmlformats.org/officeDocument/2006/relationships/hyperlink" Target="https://www.sefaria.org/Keter_Malkhut.19" TargetMode="External" Id="rId491"/><Relationship Type="http://schemas.openxmlformats.org/officeDocument/2006/relationships/hyperlink" Target="https://www.sefaria.org/Keter_Malkhut.20" TargetMode="External" Id="rId492"/><Relationship Type="http://schemas.openxmlformats.org/officeDocument/2006/relationships/hyperlink" Target="https://www.sefaria.org/Keter_Malkhut.21" TargetMode="External" Id="rId493"/><Relationship Type="http://schemas.openxmlformats.org/officeDocument/2006/relationships/hyperlink" Target="https://www.sefaria.org/Keter_Malkhut.22" TargetMode="External" Id="rId494"/><Relationship Type="http://schemas.openxmlformats.org/officeDocument/2006/relationships/hyperlink" Target="https://www.sefaria.org/Keter_Malkhut.23" TargetMode="External" Id="rId495"/><Relationship Type="http://schemas.openxmlformats.org/officeDocument/2006/relationships/hyperlink" Target="https://www.sefaria.org/Keter_Malkhut.24" TargetMode="External" Id="rId496"/><Relationship Type="http://schemas.openxmlformats.org/officeDocument/2006/relationships/hyperlink" Target="https://www.sefaria.org/Keter_Malkhut.25" TargetMode="External" Id="rId497"/><Relationship Type="http://schemas.openxmlformats.org/officeDocument/2006/relationships/hyperlink" Target="https://www.sefaria.org/Keter_Malkhut.26" TargetMode="External" Id="rId498"/><Relationship Type="http://schemas.openxmlformats.org/officeDocument/2006/relationships/hyperlink" Target="https://www.sefaria.org/Keter_Malkhut.27" TargetMode="External" Id="rId499"/><Relationship Type="http://schemas.openxmlformats.org/officeDocument/2006/relationships/hyperlink" Target="https://www.sefaria.org/Keter_Malkhut.28" TargetMode="External" Id="rId500"/><Relationship Type="http://schemas.openxmlformats.org/officeDocument/2006/relationships/hyperlink" Target="https://www.sefaria.org/Keter_Malkhut.29" TargetMode="External" Id="rId501"/><Relationship Type="http://schemas.openxmlformats.org/officeDocument/2006/relationships/hyperlink" Target="https://www.sefaria.org/Keter_Malkhut.30" TargetMode="External" Id="rId502"/><Relationship Type="http://schemas.openxmlformats.org/officeDocument/2006/relationships/hyperlink" Target="https://www.sefaria.org/Keter_Malkhut.31" TargetMode="External" Id="rId503"/><Relationship Type="http://schemas.openxmlformats.org/officeDocument/2006/relationships/hyperlink" Target="https://www.sefaria.org/Keter_Malkhut.32" TargetMode="External" Id="rId504"/><Relationship Type="http://schemas.openxmlformats.org/officeDocument/2006/relationships/hyperlink" Target="https://www.sefaria.org/Keter_Malkhut.33" TargetMode="External" Id="rId505"/><Relationship Type="http://schemas.openxmlformats.org/officeDocument/2006/relationships/hyperlink" Target="https://www.sefaria.org/Keter_Malkhut.34" TargetMode="External" Id="rId506"/><Relationship Type="http://schemas.openxmlformats.org/officeDocument/2006/relationships/hyperlink" Target="https://www.sefaria.org/Keter_Malkhut.35" TargetMode="External" Id="rId507"/><Relationship Type="http://schemas.openxmlformats.org/officeDocument/2006/relationships/hyperlink" Target="https://www.sefaria.org/Keter_Malkhut.36" TargetMode="External" Id="rId508"/><Relationship Type="http://schemas.openxmlformats.org/officeDocument/2006/relationships/hyperlink" Target="https://www.sefaria.org/Keter_Malkhut.37" TargetMode="External" Id="rId509"/><Relationship Type="http://schemas.openxmlformats.org/officeDocument/2006/relationships/hyperlink" Target="https://www.sefaria.org/Keter_Malkhut.38" TargetMode="External" Id="rId510"/><Relationship Type="http://schemas.openxmlformats.org/officeDocument/2006/relationships/hyperlink" Target="https://www.sefaria.org/Keter_Malkhut.39" TargetMode="External" Id="rId511"/><Relationship Type="http://schemas.openxmlformats.org/officeDocument/2006/relationships/hyperlink" Target="https://www.sefaria.org/Keter_Malkhut.40" TargetMode="External" Id="rId512"/><Relationship Type="http://schemas.openxmlformats.org/officeDocument/2006/relationships/hyperlink" Target="https://www.sefaria.org/Lekha_Dodi.1" TargetMode="External" Id="rId513"/><Relationship Type="http://schemas.openxmlformats.org/officeDocument/2006/relationships/hyperlink" Target="https://www.sefaria.org/Lekha_Dodi.3" TargetMode="External" Id="rId514"/><Relationship Type="http://schemas.openxmlformats.org/officeDocument/2006/relationships/hyperlink" Target="https://www.sefaria.org/Lekha_Dodi.4" TargetMode="External" Id="rId515"/><Relationship Type="http://schemas.openxmlformats.org/officeDocument/2006/relationships/hyperlink" Target="https://www.sefaria.org/Lekha_Dodi.5" TargetMode="External" Id="rId516"/><Relationship Type="http://schemas.openxmlformats.org/officeDocument/2006/relationships/hyperlink" Target="https://www.sefaria.org/Lekha_Dodi.7" TargetMode="External" Id="rId517"/><Relationship Type="http://schemas.openxmlformats.org/officeDocument/2006/relationships/hyperlink" Target="https://www.sefaria.org/Lekha_Dodi.8" TargetMode="External" Id="rId518"/><Relationship Type="http://schemas.openxmlformats.org/officeDocument/2006/relationships/hyperlink" Target="https://www.sefaria.org/Lekha_Dodi.10" TargetMode="External" Id="rId519"/><Relationship Type="http://schemas.openxmlformats.org/officeDocument/2006/relationships/hyperlink" Target="https://www.sefaria.org/Shalom_Aleichem.1" TargetMode="External" Id="rId520"/><Relationship Type="http://schemas.openxmlformats.org/officeDocument/2006/relationships/hyperlink" Target="https://www.sefaria.org/Yedid_Nefesh" TargetMode="External" Id="rId521"/><Relationship Type="http://schemas.openxmlformats.org/officeDocument/2006/relationships/hyperlink" Target="https://www.sefaria.org/Kinnot_for_Tisha_B'Av_(Ashkenaz),_Kinot_for_Tisha_B'Av_Night.1" TargetMode="External" Id="rId522"/><Relationship Type="http://schemas.openxmlformats.org/officeDocument/2006/relationships/hyperlink" Target="https://www.sefaria.org/Kinnot_for_Tisha_B'Av_(Ashkenaz),_Kinot_for_Tisha_B'Av_Night.5" TargetMode="External" Id="rId523"/><Relationship Type="http://schemas.openxmlformats.org/officeDocument/2006/relationships/hyperlink" Target="https://www.sefaria.org/Kinnot_for_Tisha_B'Av_(Ashkenaz),_Kinot_for_Tisha_B'Av_Day.19" TargetMode="External" Id="rId524"/><Relationship Type="http://schemas.openxmlformats.org/officeDocument/2006/relationships/hyperlink" Target="https://www.sefaria.org/Kinnot_for_Tisha_B'Av_(Ashkenaz),_Kinot_for_Tisha_B'Av_Day.45" TargetMode="External" Id="rId525"/><Relationship Type="http://schemas.openxmlformats.org/officeDocument/2006/relationships/hyperlink" Target="https://www.sefaria.org/Perek_Shirah,_Concluding_Prayer" TargetMode="External" Id="rId526"/><Relationship Type="http://schemas.openxmlformats.org/officeDocument/2006/relationships/hyperlink" Target="https://www.sefaria.org/Genesis_24:12-14" TargetMode="External" Id="rId527"/><Relationship Type="http://schemas.openxmlformats.org/officeDocument/2006/relationships/hyperlink" Target="https://www.sefaria.org/Genesis_28:20-22" TargetMode="External" Id="rId528"/><Relationship Type="http://schemas.openxmlformats.org/officeDocument/2006/relationships/hyperlink" Target="https://www.sefaria.org/Genesis_32:10-13" TargetMode="External" Id="rId529"/><Relationship Type="http://schemas.openxmlformats.org/officeDocument/2006/relationships/hyperlink" Target="https://www.sefaria.org/Exodus_15:1-19" TargetMode="External" Id="rId530"/><Relationship Type="http://schemas.openxmlformats.org/officeDocument/2006/relationships/hyperlink" Target="https://www.sefaria.org/Exodus_15:20-21" TargetMode="External" Id="rId531"/><Relationship Type="http://schemas.openxmlformats.org/officeDocument/2006/relationships/hyperlink" Target="https://www.sefaria.org/Exodus_32:11-13" TargetMode="External" Id="rId532"/><Relationship Type="http://schemas.openxmlformats.org/officeDocument/2006/relationships/hyperlink" Target="https://www.sefaria.org/Exodus_34:6-7" TargetMode="External" Id="rId533"/><Relationship Type="http://schemas.openxmlformats.org/officeDocument/2006/relationships/hyperlink" Target="https://www.sefaria.org/Numbers_10:35-36" TargetMode="External" Id="rId534"/><Relationship Type="http://schemas.openxmlformats.org/officeDocument/2006/relationships/hyperlink" Target="https://www.sefaria.org/Numbers_12:13" TargetMode="External" Id="rId535"/><Relationship Type="http://schemas.openxmlformats.org/officeDocument/2006/relationships/hyperlink" Target="https://www.sefaria.org/Deuteronomy_3:23-25" TargetMode="External" Id="rId536"/><Relationship Type="http://schemas.openxmlformats.org/officeDocument/2006/relationships/hyperlink" Target="https://www.sefaria.org/Deuteronomy_11:13-21" TargetMode="External" Id="rId537"/><Relationship Type="http://schemas.openxmlformats.org/officeDocument/2006/relationships/hyperlink" Target="https://www.sefaria.org/Numbers_15:37-41" TargetMode="External" Id="rId538"/><Relationship Type="http://schemas.openxmlformats.org/officeDocument/2006/relationships/hyperlink" Target="https://www.sefaria.org/Deuteronomy_26:13-15" TargetMode="External" Id="rId539"/><Relationship Type="http://schemas.openxmlformats.org/officeDocument/2006/relationships/hyperlink" Target="https://www.sefaria.org/I_Samuel_1:10-11" TargetMode="External" Id="rId540"/><Relationship Type="http://schemas.openxmlformats.org/officeDocument/2006/relationships/hyperlink" Target="https://www.sefaria.org/I_Samuel_2:1-10" TargetMode="External" Id="rId541"/><Relationship Type="http://schemas.openxmlformats.org/officeDocument/2006/relationships/hyperlink" Target="https://www.sefaria.org/II_Samuel_7:18-29" TargetMode="External" Id="rId542"/><Relationship Type="http://schemas.openxmlformats.org/officeDocument/2006/relationships/hyperlink" Target="https://www.sefaria.org/II_Samuel_22" TargetMode="External" Id="rId543"/><Relationship Type="http://schemas.openxmlformats.org/officeDocument/2006/relationships/hyperlink" Target="https://www.sefaria.org/I_Kings_3:6-9" TargetMode="External" Id="rId544"/><Relationship Type="http://schemas.openxmlformats.org/officeDocument/2006/relationships/hyperlink" Target="https://www.sefaria.org/I_Kings_8:22-53" TargetMode="External" Id="rId545"/><Relationship Type="http://schemas.openxmlformats.org/officeDocument/2006/relationships/hyperlink" Target="https://www.sefaria.org/I_Kings_18:36-37" TargetMode="External" Id="rId546"/><Relationship Type="http://schemas.openxmlformats.org/officeDocument/2006/relationships/hyperlink" Target="https://www.sefaria.org/II_Kings_19:15-19" TargetMode="External" Id="rId547"/><Relationship Type="http://schemas.openxmlformats.org/officeDocument/2006/relationships/hyperlink" Target="https://www.sefaria.org/Isaiah_38:9-20" TargetMode="External" Id="rId548"/><Relationship Type="http://schemas.openxmlformats.org/officeDocument/2006/relationships/hyperlink" Target="https://www.sefaria.org/Jeremiah_17:14" TargetMode="External" Id="rId549"/><Relationship Type="http://schemas.openxmlformats.org/officeDocument/2006/relationships/hyperlink" Target="https://www.sefaria.org/Jeremiah_32:17-25" TargetMode="External" Id="rId550"/><Relationship Type="http://schemas.openxmlformats.org/officeDocument/2006/relationships/hyperlink" Target="https://www.sefaria.org/Jonah_2:2-10" TargetMode="External" Id="rId551"/><Relationship Type="http://schemas.openxmlformats.org/officeDocument/2006/relationships/hyperlink" Target="https://www.sefaria.org/Habakkuk_3" TargetMode="External" Id="rId552"/><Relationship Type="http://schemas.openxmlformats.org/officeDocument/2006/relationships/hyperlink" Target="https://www.sefaria.org/Daniel_9:4-19" TargetMode="External" Id="rId553"/><Relationship Type="http://schemas.openxmlformats.org/officeDocument/2006/relationships/hyperlink" Target="https://www.sefaria.org/Ezra_9:6-15" TargetMode="External" Id="rId554"/><Relationship Type="http://schemas.openxmlformats.org/officeDocument/2006/relationships/hyperlink" Target="https://www.sefaria.org/Nehemiah_1:5-11" TargetMode="External" Id="rId555"/><Relationship Type="http://schemas.openxmlformats.org/officeDocument/2006/relationships/hyperlink" Target="https://www.sefaria.org/Nehemiah_9:5-37" TargetMode="External" Id="rId556"/><Relationship Type="http://schemas.openxmlformats.org/officeDocument/2006/relationships/hyperlink" Target="https://www.sefaria.org/I_Chronicles_4:10" TargetMode="External" Id="rId557"/><Relationship Type="http://schemas.openxmlformats.org/officeDocument/2006/relationships/hyperlink" Target="https://www.sefaria.org/I_Chronicles_29:10-19" TargetMode="External" Id="rId558"/><Relationship Type="http://schemas.openxmlformats.org/officeDocument/2006/relationships/hyperlink" Target="https://www.sefaria.org/II_Chronicles_20:6-12" TargetMode="External" Id="rId559"/><Relationship Type="http://schemas.openxmlformats.org/officeDocument/2006/relationships/hyperlink" Target="https://www.sefaria.org/Proverbs_30:7-9" TargetMode="External" Id="rId560"/><Relationship Type="http://schemas.openxmlformats.org/officeDocument/2006/relationships/hyperlink" Target="https://www.sefaria.org/Siddur_Ashkenaz,_Weekday,_Shacharit,_Preparatory_Prayers,_Tefillin" TargetMode="External" Id="rId561"/></Relationships>
</file>

<file path=xl/worksheets/sheet1.xml><?xml version="1.0" encoding="utf-8"?>
<worksheet xmlns="http://schemas.openxmlformats.org/spreadsheetml/2006/main">
  <sheetPr>
    <tabColor rgb="00183B35"/>
    <outlinePr summaryBelow="1" summaryRight="1"/>
    <pageSetUpPr/>
  </sheetPr>
  <dimension ref="A1:F7"/>
  <sheetViews>
    <sheetView showGridLines="0" workbookViewId="0">
      <selection activeCell="A1" sqref="A1"/>
    </sheetView>
  </sheetViews>
  <sheetFormatPr baseColWidth="8" defaultRowHeight="15"/>
  <cols>
    <col width="22" customWidth="1" min="1" max="1"/>
    <col width="24" customWidth="1" min="2" max="2"/>
    <col width="24" customWidth="1" min="3" max="3"/>
    <col width="24" customWidth="1" min="4" max="4"/>
    <col width="24" customWidth="1" min="5" max="5"/>
    <col width="24" customWidth="1" min="6" max="6"/>
  </cols>
  <sheetData>
    <row r="1" ht="42" customHeight="1">
      <c r="A1" s="1" t="inlineStr">
        <is>
          <t>Kavanah | Complete Hebrew Prayer Review</t>
        </is>
      </c>
    </row>
    <row r="3" ht="66" customHeight="1">
      <c r="A3" s="2" t="inlineStr">
        <is>
          <t>Rabbi: please review the Hebrew shown in the “Prayer Review” tab. Leave the Rabbi comments cell blank to approve that prayer. If you want a correction or have a question, write it in that prayer’s Rabbi comments cell. Blank = approved; any comment = Kavanah follow-up.</t>
        </is>
      </c>
    </row>
    <row r="5">
      <c r="A5" s="3" t="inlineStr">
        <is>
          <t>What is included</t>
        </is>
      </c>
    </row>
    <row r="6" ht="62" customHeight="1">
      <c r="A6" s="4" t="inlineStr">
        <is>
          <t>Prayer Review</t>
        </is>
      </c>
      <c r="B6" s="5" t="inlineStr">
        <is>
          <t>All 561 entries in the app’s current static prayer catalog. Each row contains the exact Hebrew text currently bundled in the app, its category, tradition, and source reference. Use the header filters to narrow the list.</t>
        </is>
      </c>
    </row>
    <row r="7" ht="62" customHeight="1">
      <c r="A7" s="4" t="inlineStr">
        <is>
          <t>Service Collections</t>
        </is>
      </c>
      <c r="B7" s="5" t="inlineStr">
        <is>
          <t>Shacharit, Mincha, and Maariv are listed separately because they are service collections, not single prayers, and no single Hebrew candidate is ready for approval. These require a section-level review; leaving their notes blank does not approve them.</t>
        </is>
      </c>
    </row>
  </sheetData>
  <mergeCells count="5">
    <mergeCell ref="B7:F7"/>
    <mergeCell ref="B6:F6"/>
    <mergeCell ref="A1:F1"/>
    <mergeCell ref="A5:F5"/>
    <mergeCell ref="A3:F3"/>
  </mergeCells>
  <pageMargins left="0.75" right="0.75" top="1" bottom="1" header="0.5" footer="0.5"/>
</worksheet>
</file>

<file path=xl/worksheets/sheet2.xml><?xml version="1.0" encoding="utf-8"?>
<worksheet xmlns="http://schemas.openxmlformats.org/spreadsheetml/2006/main">
  <sheetPr>
    <tabColor rgb="0034685C"/>
    <outlinePr summaryBelow="1" summaryRight="1"/>
    <pageSetUpPr fitToPage="1"/>
  </sheetPr>
  <dimension ref="A1:I562"/>
  <sheetViews>
    <sheetView showGridLines="0" zoomScale="70" workbookViewId="0">
      <pane xSplit="4" ySplit="1" topLeftCell="E2" activePane="bottomRight" state="frozen"/>
      <selection pane="topRight"/>
      <selection pane="bottomLeft"/>
      <selection pane="bottomRight" activeCell="A1" sqref="A1"/>
    </sheetView>
  </sheetViews>
  <sheetFormatPr baseColWidth="8" defaultRowHeight="15"/>
  <cols>
    <col width="23" customWidth="1" min="1" max="1"/>
    <col width="31" customWidth="1" min="2" max="2"/>
    <col width="18" customWidth="1" min="3" max="3"/>
    <col width="22" customWidth="1" min="4" max="4"/>
    <col width="100" customWidth="1" min="5" max="5"/>
    <col width="46" customWidth="1" min="6" max="6"/>
    <col width="48" customWidth="1" min="7" max="7"/>
    <col width="40" customWidth="1" min="8" max="8"/>
    <col width="38" customWidth="1" min="9" max="9"/>
  </cols>
  <sheetData>
    <row r="1" ht="34" customHeight="1">
      <c r="A1" s="6" t="inlineStr">
        <is>
          <t>Review status</t>
        </is>
      </c>
      <c r="B1" s="6" t="inlineStr">
        <is>
          <t>Prayer</t>
        </is>
      </c>
      <c r="C1" s="6" t="inlineStr">
        <is>
          <t>Category</t>
        </is>
      </c>
      <c r="D1" s="6" t="inlineStr">
        <is>
          <t>Proposed tradition</t>
        </is>
      </c>
      <c r="E1" s="6" t="inlineStr">
        <is>
          <t>Hebrew text currently in app</t>
        </is>
      </c>
      <c r="F1" s="6" t="inlineStr">
        <is>
          <t>Rabbi comments</t>
        </is>
      </c>
      <c r="G1" s="6" t="inlineStr">
        <is>
          <t>Source reference</t>
        </is>
      </c>
      <c r="H1" s="6" t="inlineStr">
        <is>
          <t>Source edition / license</t>
        </is>
      </c>
      <c r="I1" s="6" t="inlineStr">
        <is>
          <t>App catalog ID</t>
        </is>
      </c>
    </row>
    <row r="2" ht="80" customHeight="1">
      <c r="A2" s="7">
        <f>IF(LEN(TRIM(F2))=0,"Approved","Comment to address")</f>
        <v/>
      </c>
      <c r="B2" s="8" t="inlineStr">
        <is>
          <t>Modeh Ani</t>
        </is>
      </c>
      <c r="C2" s="8" t="inlineStr">
        <is>
          <t>daily</t>
        </is>
      </c>
      <c r="D2" s="8" t="inlineStr">
        <is>
          <t>Ashkenaz</t>
        </is>
      </c>
      <c r="E2" s="9" t="inlineStr">
        <is>
          <t>מוֹדֶה אֲנִי לְפָנֶֽיךָ מֶֽלֶךְ חַי וְקַיָּם שֶׁהֶחֱזַֽרְתָּ בִּי נִשְׁמָתִי בְּחֶמְלָה, רַבָּה אֱמוּנָתֶֽךָ:
רֵאשִׁית חָכְמָה יִרְאַת יְהֹוָה, שֵֽׂכֶל טוֹב לְכָל־עֹשֵׂיהֶם, תְּהִלָּתוֹ עוֹמֶֽדֶת לָעַד: בָּרוּךְ שֵׁם כְּבוֹד מַלְכוּתוֹ לְעוֹלָם וָעֶד:</t>
        </is>
      </c>
      <c r="F2" s="10" t="inlineStr"/>
      <c r="G2" s="11" t="inlineStr">
        <is>
          <t>Siddur Ashkenaz, Weekday, Shacharit, Preparatory Prayers, Modeh Ani</t>
        </is>
      </c>
      <c r="H2" s="8" t="inlineStr">
        <is>
          <t>The Metsudah siddur, 1981 — CC-BY</t>
        </is>
      </c>
      <c r="I2" s="8" t="inlineStr">
        <is>
          <t>modeh-ani</t>
        </is>
      </c>
    </row>
    <row r="3" ht="409" customHeight="1">
      <c r="A3" s="7">
        <f>IF(LEN(TRIM(F3))=0,"Approved","Comment to address")</f>
        <v/>
      </c>
      <c r="B3" s="12" t="inlineStr">
        <is>
          <t>Shema</t>
        </is>
      </c>
      <c r="C3" s="12" t="inlineStr">
        <is>
          <t>daily</t>
        </is>
      </c>
      <c r="D3" s="12" t="inlineStr">
        <is>
          <t>Ashkenaz</t>
        </is>
      </c>
      <c r="E3" s="13" t="inlineStr">
        <is>
          <t>יחיד אומר
אֵל מֶֽלֶךְ נֶאֱמָן:
שְׁמַע יִשְׂרָאֵל יְהֹוָה אֱלֹהֵֽינוּ יְהֹוָה אֶחָד:
יש להפסיק מעט בין אחד לברוך כי עיקר קבול עול מלכות שמים היא פסוק ראשון.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וְהָיָה אִם־שָׁמֹֽעַ תִּשְׁמְ֒עוּ אֶל־מִצְוֹתַי אֲשֶׁר֯ אָ֯נֹכִי מְצַוֶּה אֶתְכֶם הַיּוֹם לְאַהֲבָה אֶת־יְהֹוָה אֱלֹהֵיכֶם וּלְעָבְדוֹ בְּכָל֯־לְ֯בַבְכֶם וּבְכָל־נַפְשְׁ֒כֶם: וְנָתַתִּי מְטַר֯־אַ֯רְצְ֒כֶם בְּעִתּוֹ֯ י֯וֹרֶה וּמַלְקוֹשׁ וְאָסַפְתָּ דְגָנֶֽךָ וְתִירשְׁ֒ךָ וְיִצְהָרֶֽךָ: וְנָתַתִּי עֵֽשֶׂב֯ בְּ֯שָׂדְ֒ךָ לִבְהֶמְתֶּֽךָ וְאָכַלְתָּ וְשָׂבָֽעְתָּ: הִשָּׁמְ֒רוּ לָכֶם פֶּן֯־יִ֯פְתֶּה לְבַבְכֶם וְסַרְתֶּם וַעֲבַדְתֶּם אֱלֹהִים֯ אֲ֯חֵרִים וְהִשְׁתַּחֲוִיתֶם לָהֶם: וְחָרָה אַף־יְהֹוָה בָּכֶם וְעָצַר֯ אֶ֯ת־הַשָּׁמַֽיִם וְלֹא֯־יִ֯הְיֶה מָטָר וְהָאֲדָמָה לֹא תִתֵּן אֶת֯־יְ֯בוּלָהּ וַאֲבַדְתֶּם֯ מְ֯הֵרָה מֵעַל הָאָֽרֶץ הַטֹּבָה אֲשֶׁר֯ יְ֯הֹוָה נֹתֵן לָכֶם: וְשַׂמְתֶּם֯ אֶ֯ת־דְּבָרַי֯ אֵֽ֯לֶּה עַל֯־לְ֯בַבְכֶם וְעַל־נַפְשְׁ֒כֶם וּקְשַׁרְתֶּם֯ אֹ֯תָם לְאוֹת עַל֯־יֶ֯דְכֶם וְהָיוּ לְטוֹטָפֹת בֵּין עֵינֵיכֶם: וְלִמַּדְתֶּם֯ אֹ֯תָם אֶת־בְּנֵיכֶם לְדַבֵּר בָּם בְּשִׁבְתְּ֒ךָ בְּבֵיתֶֽךָ וּבְלֶכְתְּ֒ךָ בַדֶּֽרֶךְ וּבְשָׁכְבְּ֒ךָ וּבְקוּמֶֽךָ: וּכְתַבְתָּם עַל־מְזוּזוֹת בֵּיתֶֽךָ וּבִשְׁעָרֶֽיךָ: לְמַֽעַן֯ יִ֯רְבּוּ יְמֵיכֶם וִימֵי בְנֵיכֶם עַל הָאֲדָמָה אֲשֶׁר נִשְׁבַּע יְהֹוָה לַאֲבֹתֵיכֶם לָתֵת לָהֶם כִּימֵי הַשָּׁמַֽיִם עַל־הָאָֽרֶץ:
וַֽיֹּאמֶר֯ יְ֯הֹוָה֯ אֶ֯ל־משֶׁה לֵּאמֹר: דַּבֵּר֯ אֶ֯ל־בְּנֵי יִשְׂרָאֵל וְאָמַרְתָּ אֲלֵהֶם וְעָשׂוּ לָהֶם צִיצִת עַל־כַּנְפֵי בִגְ֒דֵיהֶם לְדֹרֹתָם וְנָתְ֒נוּ עַל־צִיצִת הַכָּנָף֯ פְּ֯תִיל תְּכֵֽלֶת: וְהָיָה לָכֶם לְצִיצִת וּרְאִיתֶם֯ אֹ֯תוֹ וּזְכַרְתֶּם֯ אֶ֯ת־כָּל־מִצְוֹת֯ יְ֯הֹוָה וַעֲשִׂיתֶם֯ אֹ֯תָם וְלֹא תָתֽוּרוּ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יש לצרף אֱלֹהֵיכֶם לאֱמֶת
אֱ֯מֶת
שליח ציבור:
יְהֹוָה אֱלֹהֵיכֶם֯ אֱ֯מֶת:</t>
        </is>
      </c>
      <c r="F3" s="10" t="inlineStr"/>
      <c r="G3" s="14" t="inlineStr">
        <is>
          <t>Siddur Ashkenaz, Weekday, Shacharit, Blessings of the Shema, Shema</t>
        </is>
      </c>
      <c r="H3" s="12" t="inlineStr">
        <is>
          <t>The Metsudah siddur, 1981 — CC-BY</t>
        </is>
      </c>
      <c r="I3" s="12" t="inlineStr">
        <is>
          <t>shema</t>
        </is>
      </c>
    </row>
    <row r="4" ht="97" customHeight="1">
      <c r="A4" s="7">
        <f>IF(LEN(TRIM(F4))=0,"Approved","Comment to address")</f>
        <v/>
      </c>
      <c r="B4" s="8" t="inlineStr">
        <is>
          <t>Asher Yatzar</t>
        </is>
      </c>
      <c r="C4" s="8" t="inlineStr">
        <is>
          <t>health</t>
        </is>
      </c>
      <c r="D4" s="8" t="inlineStr">
        <is>
          <t>Ashkenaz</t>
        </is>
      </c>
      <c r="E4" s="9" t="inlineStr">
        <is>
          <t>בָּרוּךְ אַתָּה יְהֹוָה אֱלֹהֵֽינוּ מֶֽלֶךְ הָעוֹלָם אֲשֶׁר יָצַר אֶת־הָאָדָם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כָל־בָּשָׂר וּמַפְלִיא לַעֲשׂוֹת:</t>
        </is>
      </c>
      <c r="F4" s="10" t="inlineStr"/>
      <c r="G4" s="11" t="inlineStr">
        <is>
          <t>Siddur Ashkenaz, Weekday, Shacharit, Preparatory Prayers, Asher Yatzar</t>
        </is>
      </c>
      <c r="H4" s="8" t="inlineStr">
        <is>
          <t>The Metsudah siddur, 1981 — CC-BY</t>
        </is>
      </c>
      <c r="I4" s="8" t="inlineStr">
        <is>
          <t>asher-yatzar</t>
        </is>
      </c>
    </row>
    <row r="5" ht="148" customHeight="1">
      <c r="A5" s="7">
        <f>IF(LEN(TRIM(F5))=0,"Approved","Comment to address")</f>
        <v/>
      </c>
      <c r="B5" s="12" t="inlineStr">
        <is>
          <t>Psalm 1</t>
        </is>
      </c>
      <c r="C5" s="12" t="inlineStr">
        <is>
          <t>study</t>
        </is>
      </c>
      <c r="D5" s="12" t="inlineStr">
        <is>
          <t>Scriptural</t>
        </is>
      </c>
      <c r="E5" s="13" t="inlineStr">
        <is>
          <t>אַשְׁרֵי־הָאִישׁ אֲשֶׁר לֹא הָלַךְ בַּעֲצַת רְשָׁעִים וּבְדֶרֶךְ חַטָּאִים לֹא עָמָד וּבְמוֹשַׁב לֵצִים לֹא יָשָׁב׃
כִּי אִם בְּתוֹרַת יְהוָה חֶפְצוֹ וּבְתוֹרָתוֹ יֶהְגֶּה יוֹמָם וָלָיְלָה׃
וְהָיָה כְּעֵץ שָׁתוּל עַל־פַּלְגֵי מָיִם אֲשֶׁר פִּרְיוֹ יִתֵּן בְּעִתּוֹ וְעָלֵהוּ לֹא־יִבּוֹל וְכֹל אֲשֶׁר־יַעֲשֶׂה יַצְלִיחַ׃
לֹא־כֵן הָרְשָׁעִים כִּי אִם־כַּמֹּץ אֲ‍שֶׁר־תִּדְּפֶנּוּ רוּחַ׃
עַל־כֵּן לֹא־יָקֻמוּ רְשָׁעִים בַּמִּשְׁפָּט וְחַטָּאִים בַּעֲדַת צַדִּיקִים׃
כִּי־יוֹדֵעַ יְהוָה דֶּרֶךְ צַדִּיקִים וְדֶרֶךְ רְשָׁעִים תֹּאבֵד׃</t>
        </is>
      </c>
      <c r="F5" s="10" t="inlineStr"/>
      <c r="G5" s="14" t="inlineStr">
        <is>
          <t>Psalms 1</t>
        </is>
      </c>
      <c r="H5" s="12" t="inlineStr">
        <is>
          <t>Tanach with Nikkud — Public Domain</t>
        </is>
      </c>
      <c r="I5" s="12" t="inlineStr">
        <is>
          <t>sefaria-psalms-1</t>
        </is>
      </c>
    </row>
    <row r="6" ht="233" customHeight="1">
      <c r="A6" s="7">
        <f>IF(LEN(TRIM(F6))=0,"Approved","Comment to address")</f>
        <v/>
      </c>
      <c r="B6" s="8" t="inlineStr">
        <is>
          <t>Psalm 2</t>
        </is>
      </c>
      <c r="C6" s="8" t="inlineStr">
        <is>
          <t>source</t>
        </is>
      </c>
      <c r="D6" s="8" t="inlineStr">
        <is>
          <t>Scriptural</t>
        </is>
      </c>
      <c r="E6" s="9" t="inlineStr">
        <is>
          <t>לָמָּה רָגְשׁוּ גוֹיִם וּלְאֻמִּים יֶהְגּוּ־רִיק׃
יִתְיַצְּבוּ מַלְכֵי־אֶרֶץ וְרוֹזְנִים נוֹסְדוּ־יָחַד עַל־יְהוָה וְעַל־מְשִׁיחוֹ׃
נְנַתְּקָה אֶת־מוֹסְרוֹתֵימוֹ וְנַשְׁלִיכָה מִמֶּנּוּ עֲבֹתֵימוֹ׃
יוֹשֵׁב בַּשָּׁמַיִם יִשְׂחָק אֲדֹנָי יִלְעַג־לָמוֹ׃
אָז יְדַבֵּר אֵלֵימוֹ בְאַפּוֹ וּבַחֲרוֹנוֹ יְבַהֲלֵמוֹ׃
וַאֲנִי נָסַכְתִּי מַלְכִּי עַל־צִיּוֹן הַר־קָדְשִׁי׃
אֲסַפְּרָה אֶל חֹק יְהוָה אָמַר אֵלַי בְּנִי אַתָּה אֲנִי הַיּוֹם יְלִדְתִּיךָ׃
שְׁאַל מִמֶּנִּי וְאֶתְּנָה גוֹיִם נַחֲלָתֶךָ וַאֲחֻזָּתְךָ אַפְסֵי־אָרֶץ׃
תְּרֹעֵם בְּשֵׁבֶט בַּרְזֶל כִּכְלִי יוֹצֵר תְּנַפְּצֵם׃
וְעַתָּה מְלָכִים הַשְׂכִּילוּ הִוָּסְרוּ שֹׁפְטֵי אָרֶץ׃
עִבְדוּ אֶת־יְהוָה בְּיִרְאָה וְגִילוּ בִּרְעָדָה׃
נַשְּׁקוּ־בַר פֶּן־יֶאֱנַף וְתֹאבְדוּ דֶרֶךְ כִּי־יִבְעַר כִּמְעַט אַפּוֹ אַשְׁרֵי כָּל־חוֹסֵי בוֹ׃</t>
        </is>
      </c>
      <c r="F6" s="10" t="inlineStr"/>
      <c r="G6" s="11" t="inlineStr">
        <is>
          <t>Psalms 2</t>
        </is>
      </c>
      <c r="H6" s="8" t="inlineStr">
        <is>
          <t>Tanach with Nikkud — Public Domain</t>
        </is>
      </c>
      <c r="I6" s="8" t="inlineStr">
        <is>
          <t>sefaria-psalms-2</t>
        </is>
      </c>
    </row>
    <row r="7" ht="182" customHeight="1">
      <c r="A7" s="7">
        <f>IF(LEN(TRIM(F7))=0,"Approved","Comment to address")</f>
        <v/>
      </c>
      <c r="B7" s="12" t="inlineStr">
        <is>
          <t>Psalm 3</t>
        </is>
      </c>
      <c r="C7" s="12" t="inlineStr">
        <is>
          <t>protection</t>
        </is>
      </c>
      <c r="D7" s="12" t="inlineStr">
        <is>
          <t>Scriptural</t>
        </is>
      </c>
      <c r="E7" s="13" t="inlineStr">
        <is>
          <t>מִזְמוֹר לְדָוִד בְּבָרְחוֹ מִפְּנֵי אַבְשָׁלוֹם בְּנוֹ׃
יְהוָה מָה־רַבּוּ צָרָי רַבִּים קָמִים עָלָי׃
רַבִּים אֹמְרִים לְנַפְשִׁי אֵין יְשׁוּעָתָה לּוֹ בֵאלֹהִים סֶלָה׃
וְאַתָּה יְהוָה מָגֵן בַּעֲדִי כְּבוֹדִי וּמֵרִים רֹאשִׁי׃
קוֹלִי אֶל־יְהוָה אֶקְרָא וַיַּעֲנֵנִי מֵהַר קָדְשׁוֹ סֶלָה׃
אֲנִי שָׁכַבְתִּי וָאִישָׁנָה הֱקִיצוֹתִי כִּי יְהוָה יִסְמְכֵנִי׃
לֹא־אִירָא מֵרִבְבוֹת עָם אֲשֶׁר סָבִיב שָׁתוּ עָלָי׃
קוּמָה יְהוָה הוֹשִׁיעֵנִי אֱלֹהַי כִּי־הִכִּיתָ אֶת־כָּל־אֹיְבַי לֶחִי שִׁנֵּי רְשָׁעִים שִׁבַּרְתָּ׃
לַיהוָה הַיְשׁוּעָה עַל־עַמְּךָ בִרְכָתֶךָ סֶּלָה׃</t>
        </is>
      </c>
      <c r="F7" s="10" t="inlineStr"/>
      <c r="G7" s="14" t="inlineStr">
        <is>
          <t>Psalms 3</t>
        </is>
      </c>
      <c r="H7" s="12" t="inlineStr">
        <is>
          <t>Tanach with Nikkud — Public Domain</t>
        </is>
      </c>
      <c r="I7" s="12" t="inlineStr">
        <is>
          <t>sefaria-psalms-3</t>
        </is>
      </c>
    </row>
    <row r="8" ht="216" customHeight="1">
      <c r="A8" s="7">
        <f>IF(LEN(TRIM(F8))=0,"Approved","Comment to address")</f>
        <v/>
      </c>
      <c r="B8" s="8" t="inlineStr">
        <is>
          <t>Psalm 4</t>
        </is>
      </c>
      <c r="C8" s="8" t="inlineStr">
        <is>
          <t>sleep</t>
        </is>
      </c>
      <c r="D8" s="8" t="inlineStr">
        <is>
          <t>Scriptural</t>
        </is>
      </c>
      <c r="E8" s="9" t="inlineStr">
        <is>
          <t>לַמְנַצֵּחַ בִּנְגִינוֹת מִזְמוֹר לְדָוִד׃
בְּקָרְאִי עֲנֵנִי אֱלֹהֵי צִדְקִי בַּצָּר הִרְחַבְתָּ לִּי חָנֵּנִי וּשְׁמַע תְּפִלָּתִי׃
בְּנֵי אִישׁ עַד־מֶה כְבוֹדִי לִכְלִמָּה תֶּאֱהָבוּן רִיק תְּבַקְשׁוּ כָזָב סֶלָה׃
וּדְעוּ כִּי־הִפְלָה יְהוָה חָסִיד לוֹ יְהוָה יִשְׁמַע בְּקָרְאִי אֵלָיו׃
רִגְזוּ וְאַל־תֶּחֱטָאוּ אִמְרוּ בִלְבַבְכֶם עַל־מִשְׁכַּבְכֶם וְדֹמּוּ סֶלָה׃
זִבְחוּ זִבְחֵי־צֶדֶק וּבִטְחוּ אֶל־יְהוָה׃
רַבִּים אֹמְרִים מִי־יַרְאֵנוּ טוֹב נְסָה־עָלֵינוּ אוֹר פָּנֶיךָ יְהוָה׃
נָתַתָּה שִׂמְחָה בְלִבִּי מֵעֵת דְּגָנָם וְתִירוֹשָׁם רָבּוּ׃
בְּשָׁלוֹם יַחְדָּו אֶשְׁכְּבָה וְאִישָׁן כִּי־אַתָּה יְהוָה לְבָדָד לָבֶטַח תּוֹשִׁיבֵנִי׃</t>
        </is>
      </c>
      <c r="F8" s="10" t="inlineStr"/>
      <c r="G8" s="11" t="inlineStr">
        <is>
          <t>Psalms 4</t>
        </is>
      </c>
      <c r="H8" s="8" t="inlineStr">
        <is>
          <t>Tanach with Nikkud — Public Domain</t>
        </is>
      </c>
      <c r="I8" s="8" t="inlineStr">
        <is>
          <t>sefaria-psalms-4</t>
        </is>
      </c>
    </row>
    <row r="9" ht="301" customHeight="1">
      <c r="A9" s="7">
        <f>IF(LEN(TRIM(F9))=0,"Approved","Comment to address")</f>
        <v/>
      </c>
      <c r="B9" s="12" t="inlineStr">
        <is>
          <t>Psalm 5</t>
        </is>
      </c>
      <c r="C9" s="12" t="inlineStr">
        <is>
          <t>protection</t>
        </is>
      </c>
      <c r="D9" s="12" t="inlineStr">
        <is>
          <t>Scriptural</t>
        </is>
      </c>
      <c r="E9" s="13" t="inlineStr">
        <is>
          <t>לַמְנַצֵּחַ אֶל־הַנְּחִילוֹת מִזְמוֹר לְדָוִד׃
אֲמָרַי הַאֲזִינָה יְהוָה בִּינָה הֲגִיגִי׃
הַקְשִׁיבָה לְקוֹל שַׁוְעִי מַלְכִּי וֵאלֹהָי כִּי־אֵלֶיךָ אֶתְפַּלָּל׃
יְהוָה בֹּקֶר תִּשְׁמַע קוֹלִי בֹּקֶר אֶעֱרָךְ־לְךָ וַאֲצַפֶּה׃
כִּי לֹא אֵל־חָפֵץ רֶשַׁע אָתָּה לֹא יְגֻרְךָ רָע׃
לֹא־יִתְיַצְּבוּ הוֹלְלִים לְנֶגֶד עֵינֶיךָ שָׂנֵאתָ כָּל־פֹּעֲלֵי אָוֶן׃
תְּאַבֵּד דֹּבְרֵי כָזָב אִישׁ־דָּמִים וּמִרְמָה יְתָעֵב יְהוָה׃
וַאֲנִי בְּרֹב חַסְדְּךָ אָבוֹא בֵיתֶךָ אֶשְׁתַּחֲוֶה אֶל־הֵיכַל־קָדְשְׁךָ בְּיִרְאָתֶךָ׃
יְהוָה נְחֵנִי בְצִדְקָתֶךָ לְמַעַן שׁוֹרְרָי הושר [הַיְשַׁר] לְפָנַי דַּרְכֶּךָ׃
כִּי אֵין בְּפִיהוּ נְכוֹנָה קִרְבָּם הַוּוֹת קֶבֶר־פָּתוּחַ גְּרוֹנָם לְשׁוֹנָם יַחֲלִיקוּן׃
הַאֲשִׁימֵם אֱ‍לֹהִים יִפְּלוּ מִמֹּעֲצוֹתֵיהֶם בְּרֹב פִּשְׁעֵיהֶם הַדִּיחֵמוֹ כִּי־מָרוּ בָךְ׃
וְיִשְׂמְחוּ כָל־חוֹסֵי בָךְ לְעוֹלָם יְרַנֵּנוּ וְתָסֵךְ עָלֵימוֹ וְיַעְלְצוּ בְךָ אֹהֲבֵי שְׁמֶךָ׃
כִּי־אַתָּה תְּבָרֵךְ צַדִּיק יְהוָה כַּצִּנָּה רָצוֹן תַּעְטְרֶנּוּ׃</t>
        </is>
      </c>
      <c r="F9" s="10" t="inlineStr"/>
      <c r="G9" s="14" t="inlineStr">
        <is>
          <t>Psalms 5</t>
        </is>
      </c>
      <c r="H9" s="12" t="inlineStr">
        <is>
          <t>Tanach with Nikkud — Public Domain</t>
        </is>
      </c>
      <c r="I9" s="12" t="inlineStr">
        <is>
          <t>sefaria-psalms-5</t>
        </is>
      </c>
    </row>
    <row r="10" ht="216" customHeight="1">
      <c r="A10" s="7">
        <f>IF(LEN(TRIM(F10))=0,"Approved","Comment to address")</f>
        <v/>
      </c>
      <c r="B10" s="8" t="inlineStr">
        <is>
          <t>Psalm 6</t>
        </is>
      </c>
      <c r="C10" s="8" t="inlineStr">
        <is>
          <t>health</t>
        </is>
      </c>
      <c r="D10" s="8" t="inlineStr">
        <is>
          <t>Scriptural</t>
        </is>
      </c>
      <c r="E10" s="9" t="inlineStr">
        <is>
          <t>לַמְנַצֵּחַ בִּנְגִינוֹת עַל־הַשְּׁמִינִית מִזְמוֹר לְדָוִד׃
יְהוָה אַל־בְּאַפְּךָ תוֹכִיחֵנִי וְאַל־בַּחֲמָתְךָ תְיַסְּרֵנִי׃
חָנֵּנִי יְהוָה כִּי אֻמְלַל אָנִי רְפָאֵנִי יְהוָה כִּי נִבְהֲלוּ עֲצָמָי׃
וְנַפְשִׁי נִבְהֲלָה מְאֹד ואת [וְאַתָּה] יְהוָה עַד־מָתָי׃
שׁוּבָה יְהוָה חַלְּצָה נַפְשִׁי הוֹשִׁיעֵנִי לְמַעַן חַסְדֶּךָ׃
כִּי אֵין בַּמָּוֶת זִכְרֶךָ בִּשְׁאוֹל מִי יוֹדֶה־לָּךְ׃
יָגַעְתִּי 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t>
        </is>
      </c>
      <c r="F10" s="10" t="inlineStr"/>
      <c r="G10" s="11" t="inlineStr">
        <is>
          <t>Psalms 6</t>
        </is>
      </c>
      <c r="H10" s="8" t="inlineStr">
        <is>
          <t>Tanach with Nikkud — Public Domain</t>
        </is>
      </c>
      <c r="I10" s="8" t="inlineStr">
        <is>
          <t>sefaria-psalms-6</t>
        </is>
      </c>
    </row>
    <row r="11" ht="369" customHeight="1">
      <c r="A11" s="7">
        <f>IF(LEN(TRIM(F11))=0,"Approved","Comment to address")</f>
        <v/>
      </c>
      <c r="B11" s="12" t="inlineStr">
        <is>
          <t>Psalm 7</t>
        </is>
      </c>
      <c r="C11" s="12" t="inlineStr">
        <is>
          <t>protection</t>
        </is>
      </c>
      <c r="D11" s="12" t="inlineStr">
        <is>
          <t>Scriptural</t>
        </is>
      </c>
      <c r="E11" s="13" t="inlineStr">
        <is>
          <t>שִׁגָּיוֹן לְדָוִד אֲשֶׁר־שָׁר לַיהוָה עַל־דִּבְרֵי־כוּשׁ בֶּן־יְמִינִי׃
יְהוָה אֱלֹהַי בְּךָ חָסִיתִי הוֹשִׁיעֵנִי מִכָּל־רֹדְפַי וְהַצִּילֵנִי׃
פֶּן־יִטְרֹף כְּאַרְיֵה נַפְשִׁי פֹּרֵק וְאֵין מַצִּיל׃
יְהוָה אֱלֹהַי אִם־עָשִׂיתִי זֹאת אִם־יֶשׁ־עָוֶל בְּכַפָּי׃
אִם־גָּמַלְתִּי שׁוֹלְמִי רָע וָאֲחַלְּצָה צוֹרְרִי רֵיקָם׃
יִרַדֹּף אוֹיֵב נַפְשִׁי וְיַשֵּׂג וְיִרְמֹס לָאָרֶץ חַיָּי וּכְבוֹדִי לֶעָפָר יַשְׁכֵּן סֶלָה׃
קוּמָה יְהוָה בְּאַפֶּךָ הִנָּשֵׂא בְּעַבְרוֹת צוֹרְרָי וְעוּרָה אֵלַי מִשְׁפָּט צִוִּיתָ׃
וַעֲדַת לְאֻמִּים תְּסוֹבְבֶךָּ וְעָלֶיהָ לַמָּרוֹם שׁוּבָה׃
יְהוָה יָדִין עַמִּים שָׁפְטֵנִי יְהוָה כְּצִדְקִי וּכְתֻמִּי עָלָי׃
יִגְמָר־נָא רַע רְשָׁעִים וּתְכוֹנֵן צַדִּיק וּבֹחֵן לִבּוֹת וּכְלָיוֹת אֱלֹהִים צַדִּיק׃
מָגִנִּי עַל־אֱלֹהִים מוֹשִׁיעַ יִשְׁרֵי־לֵב׃
אֱלֹהִים שׁוֹפֵט צַדִּיק וְאֵל זֹעֵם בְּכָל־יוֹם׃
אִם־לֹא יָשׁוּב חַרְבּוֹ יִלְטוֹשׁ קַשְׁתּוֹ דָרַךְ וַיְכוֹנְנֶהָ׃
וְלוֹ הֵכִין כְּלֵי־מָוֶת חִצָּיו לְדֹלְקִים יִפְעָל׃
הִנֵּה יְחַבֶּל־אָוֶן וְהָרָה עָמָל וְיָלַד שָׁקֶר׃
בּוֹר כָּרָה וַיַּחְפְּרֵהוּ וַיִּפֹּל בְּשַׁחַת יִפְעָל׃
יָשׁוּב עֲמָלוֹ בְרֹאשׁוֹ וְעַל קָדְקֳדוֹ חֲמָסוֹ יֵרֵד׃
אוֹדֶה יְהוָה כְּצִדְקוֹ וַאֲזַמְּרָה שֵׁם־יְהוָה עֶלְיוֹן׃</t>
        </is>
      </c>
      <c r="F11" s="10" t="inlineStr"/>
      <c r="G11" s="14" t="inlineStr">
        <is>
          <t>Psalms 7</t>
        </is>
      </c>
      <c r="H11" s="12" t="inlineStr">
        <is>
          <t>Tanach with Nikkud — Public Domain</t>
        </is>
      </c>
      <c r="I11" s="12" t="inlineStr">
        <is>
          <t>sefaria-psalms-7</t>
        </is>
      </c>
    </row>
    <row r="12" ht="233" customHeight="1">
      <c r="A12" s="7">
        <f>IF(LEN(TRIM(F12))=0,"Approved","Comment to address")</f>
        <v/>
      </c>
      <c r="B12" s="8" t="inlineStr">
        <is>
          <t>Psalm 8</t>
        </is>
      </c>
      <c r="C12" s="8" t="inlineStr">
        <is>
          <t>thanks</t>
        </is>
      </c>
      <c r="D12" s="8" t="inlineStr">
        <is>
          <t>Scriptural</t>
        </is>
      </c>
      <c r="E12" s="9" t="inlineStr">
        <is>
          <t>לַמְנַצֵּחַ עַל־הַגִּתִּית מִזְמוֹר לְדָוִד׃
יְהוָה אֲדֹנֵינוּ מָה־אַדִּיר שִׁמְךָ בְּכָל־הָאָרֶץ אֲשֶׁר תְּנָה הוֹדְךָ עַל־הַשָּׁמָיִם׃
מִפִּי עוֹלְלִים וְיֹנְקִים יִסַּדְתָּ עֹז לְמַעַן צוֹרְרֶיךָ לְהַשְׁבִּית אוֹיֵב וּמִתְנַקֵּם׃
כִּי־אֶרְאֶה שָׁמֶיךָ מַעֲשֵׂי אֶצְבְּעֹתֶיךָ יָרֵחַ וְכוֹכָבִים אֲשֶׁר כּוֹנָנְתָּה׃
מָה־אֱנוֹשׁ כִּי־תִזְכְּרֶנּוּ וּבֶן־אָדָם כִּי תִפְקְדֶנּוּ׃
וַתְּחַסְּרֵהוּ מְּעַט מֵאֱלֹהִים וְכָבוֹד וְהָדָר תְּעַטְּרֵהוּ׃
תַּמְשִׁילֵהוּ בְּמַעֲשֵׂי יָדֶיךָ כֹּל שַׁתָּה תַחַת־רַגְלָיו׃
צֹנֶה וַאֲלָפִים כֻּלָּם וְגַם בַּהֲמוֹת שָׂדָי׃
צִפּוֹר שָׁמַיִם וּדְגֵי הַיָּם עֹבֵר אָרְחוֹת יַמִּים׃
יְהוָה אֲדֹנֵינוּ מָה־אַדִּיר שִׁמְךָ בְּכָל־הָאָרֶץ׃</t>
        </is>
      </c>
      <c r="F12" s="10" t="inlineStr"/>
      <c r="G12" s="11" t="inlineStr">
        <is>
          <t>Psalms 8</t>
        </is>
      </c>
      <c r="H12" s="8" t="inlineStr">
        <is>
          <t>Tanach with Nikkud — Public Domain</t>
        </is>
      </c>
      <c r="I12" s="8" t="inlineStr">
        <is>
          <t>sefaria-psalms-8</t>
        </is>
      </c>
    </row>
    <row r="13" ht="386" customHeight="1">
      <c r="A13" s="7">
        <f>IF(LEN(TRIM(F13))=0,"Approved","Comment to address")</f>
        <v/>
      </c>
      <c r="B13" s="12" t="inlineStr">
        <is>
          <t>Psalm 9</t>
        </is>
      </c>
      <c r="C13" s="12" t="inlineStr">
        <is>
          <t>health</t>
        </is>
      </c>
      <c r="D13" s="12" t="inlineStr">
        <is>
          <t>Scriptural</t>
        </is>
      </c>
      <c r="E13" s="13" t="inlineStr">
        <is>
          <t>לַמְנַצֵּחַ עַלְמוּת לַבֵּן מִזְמוֹר לְדָוִד׃
אוֹדֶה יְהוָה בְּכָל־לִבִּי אֲסַפְּרָה כָּל־נִפְלְאוֹתֶיךָ׃
אֶשְׂמְחָה וְאֶעֶלְצָה בָךְ אֲזַמְּרָה שִׁמְךָ עֶלְיוֹן׃
בְּשׁוּב־אוֹיְבַי אָחוֹר יִכָּשְׁלוּ וְיֹאבְדוּ מִפָּנֶיךָ׃
כִּי־עָשִׂיתָ מִשְׁפָּטִי וְדִינִי יָשַׁבְתָּ לְכִסֵּא שׁוֹפֵט צֶדֶק׃
גָּעַרְתָּ גוֹיִם אִבַּדְתָּ רָשָׁע שְׁמָם מָחִיתָ לְעוֹלָם וָעֶד׃
הָאוֹיֵב תַּמּוּ חֳרָבוֹת לָנֶצַח וְעָרִים נָתַשְׁתָּ אָבַד זִכְרָם הֵמָּה׃
וַיהוָה לְעוֹלָם יֵשֵׁב כּוֹנֵן לַמִּשְׁפָּט כִּסְאוֹ׃
וְהוּא יִשְׁפֹּט־תֵּבֵל בְּצֶדֶק יָדִין לְאֻמִּים בְּמֵישָׁרִים׃
וִיהִי יְהוָה מִשְׂגָּב לַדָּךְ מִשְׂגָּב לְעִתּוֹת בַּצָּרָה׃
וְיִבְטְחוּ בְךָ יוֹדְעֵי שְׁמֶךָ כִּי לֹא־עָזַבְתָּ דֹרְשֶׁיךָ יְהוָה׃
זַמְּרוּ לַיהוָה יֹשֵׁב צִיּוֹן הַגִּידוּ בָעַמִּים עֲלִילוֹתָיו׃
כִּי־דֹרֵשׁ דָּמִים אוֹתָם זָכָר לֹא־שָׁכַח צַעֲקַת עניים [עֲנָוִים׃]
חָנְנֵנִי יְהוָה רְאֵה עָנְיִי מִשֹּׂנְאָי מְרוֹמְמִי מִשַּׁעֲרֵי מָוֶת׃
לְמַעַן אֲסַפְּרָה כָּל־תְּהִלָּתֶיךָ בְּשַׁעֲרֵי בַת־צִיּוֹן אָגִילָה בִּישׁוּעָתֶךָ׃
טָבְעוּ גוֹיִם בְּשַׁחַת עָשׂוּ בְּרֶשֶׁת־זוּ טָמָנוּ נִלְכְּדָה רַגְלָם׃
נוֹדַע יְהוָה מִשְׁפָּט עָשָׂה בְּפֹעַל כַּפָּיו נוֹקֵשׁ רָשָׁע הִגָּיוֹן סֶלָה׃
יָשׁוּבוּ רְשָׁעִים לִשְׁאוֹלָה כָּל־גּוֹיִם שְׁכֵחֵי אֱלֹהִים׃
כִּי לֹא לָנֶצַח יִשָּׁכַח אֶבְיוֹן תִּקְוַת ענוים [עֲנִיִּים] תֹּאבַד לָעַד׃
קוּמָה יְהוָה אַל־יָעֹז אֱנוֹשׁ יִשָּׁפְטוּ גוֹיִם עַל־פָּנֶיךָ׃
שִׁיתָה יְהוָה מוֹרָה לָהֶם יֵדְעוּ גוֹיִם אֱנוֹשׁ הֵמָּה סֶּלָה׃</t>
        </is>
      </c>
      <c r="F13" s="10" t="inlineStr"/>
      <c r="G13" s="14" t="inlineStr">
        <is>
          <t>Psalms 9</t>
        </is>
      </c>
      <c r="H13" s="12" t="inlineStr">
        <is>
          <t>Tanach with Nikkud — Public Domain</t>
        </is>
      </c>
      <c r="I13" s="12" t="inlineStr">
        <is>
          <t>sefaria-psalms-9</t>
        </is>
      </c>
    </row>
    <row r="14" ht="386" customHeight="1">
      <c r="A14" s="7">
        <f>IF(LEN(TRIM(F14))=0,"Approved","Comment to address")</f>
        <v/>
      </c>
      <c r="B14" s="8" t="inlineStr">
        <is>
          <t>Psalm 10</t>
        </is>
      </c>
      <c r="C14" s="8" t="inlineStr">
        <is>
          <t>protection</t>
        </is>
      </c>
      <c r="D14" s="8" t="inlineStr">
        <is>
          <t>Scriptural</t>
        </is>
      </c>
      <c r="E14" s="9" t="inlineStr">
        <is>
          <t>לָמָה יְהוָה תַּעֲמֹד בְּרָחוֹק תַּעְלִים לְעִתּוֹת בַּצָּרָה׃
בְּגַאֲוַת רָשָׁע יִדְלַק עָנִי יִתָּפְשׂוּ בִּמְזִמּוֹת זוּ חָשָׁבוּ׃
כִּי־הִלֵּל רָשָׁע עַל־תַּאֲוַת נַפְשׁוֹ וּבֹצֵעַ בֵּרֵךְ נִאֵץ יְהוָה׃
רָשָׁע כְּגֹבַהּ אַפּוֹ בַּל־יִדְרֹשׁ אֵין אֱלֹהִים כָּל־מְזִמּוֹתָיו׃
יָחִילוּ דרכו [דְרָכָיו ] בְּכָל־עֵת מָרוֹם מִשְׁפָּטֶיךָ מִנֶּגְדּוֹ כָּל־צוֹרְרָיו יָפִיחַ בָּהֶם׃
אָמַר בְּלִבּוֹ בַּל־אֶמּוֹט לְדֹר וָדֹר אֲשֶׁר לֹא־בְרָע׃
אָלָה פִּיהוּ מָלֵא וּמִרְמוֹת וָתֹךְ תַּחַת לְשׁוֹנוֹ עָמָל וָאָוֶן׃
יֵשֵׁב בְּמַאְרַב חֲצֵרִים בַּמִּסְתָּרִים יַהֲרֹג נָקִי עֵינָיו לְחֵלְכָה יִצְפֹּנוּ׃
יֶאֱרֹב בַּמִּסְתָּר כְּאַרְיֵה בְסֻכֹּה יֶאֱרֹב לַחֲטוֹף עָנִי יַחְטֹף עָנִי בְּמָשְׁכוֹ בְרִשְׁתּוֹ׃
ודכה [יִדְכֶּה] יָשֹׁחַ וְנָפַל בַּעֲצוּמָיו חלכאים [חֵיל] [כָּאִים׃]
אָמַר בְּלִבּוֹ שָׁכַח אֵל הִסְתִּיר פָּנָיו בַּל־רָאָה לָנֶצַח׃
קוּמָה יְהוָה אֵל נְשָׂא יָדֶךָ אַל־תִּשְׁכַּח עניים [עֲנָוִים׃]
עַל־מֶה נִאֵץ רָשָׁע אֱלֹהִים אָמַר בְּלִבּוֹ לֹא תִּדְרֹשׁ׃
רָאִתָה כִּי־אַתָּה עָמָל וָכַעַס תַּבִּיט לָתֵת בְּיָדֶךָ עָלֶיךָ יַעֲזֹב חֵלֶכָה יָתוֹם אַתָּה הָיִיתָ עוֹזֵר׃
שְׁבֹר זְרוֹעַ רָשָׁע וָרָע תִּדְרוֹשׁ־רִשְׁעוֹ בַל־תִּמְצָא׃
יְהוָה מֶלֶךְ עוֹלָם וָעֶד אָבְדוּ גוֹיִם מֵאַרְצוֹ׃
תַּאֲוַת עֲנָוִים שָׁמַעְתָּ יְהוָה תָּכִין לִבָּם תַּקְשִׁיב אָזְנֶךָ׃
לִשְׁפֹּט יָתוֹם וָדָךְ בַּל־יוֹסִיף עוֹד לַעֲרֹץ אֱנוֹשׁ מִן־הָאָרֶץ׃</t>
        </is>
      </c>
      <c r="F14" s="10" t="inlineStr"/>
      <c r="G14" s="11" t="inlineStr">
        <is>
          <t>Psalms 10</t>
        </is>
      </c>
      <c r="H14" s="8" t="inlineStr">
        <is>
          <t>Tanach with Nikkud — Public Domain</t>
        </is>
      </c>
      <c r="I14" s="8" t="inlineStr">
        <is>
          <t>sefaria-psalms-10</t>
        </is>
      </c>
    </row>
    <row r="15" ht="182" customHeight="1">
      <c r="A15" s="7">
        <f>IF(LEN(TRIM(F15))=0,"Approved","Comment to address")</f>
        <v/>
      </c>
      <c r="B15" s="12" t="inlineStr">
        <is>
          <t>Psalm 11</t>
        </is>
      </c>
      <c r="C15" s="12" t="inlineStr">
        <is>
          <t>protection</t>
        </is>
      </c>
      <c r="D15" s="12" t="inlineStr">
        <is>
          <t>Scriptural</t>
        </is>
      </c>
      <c r="E15" s="13" t="inlineStr">
        <is>
          <t>לַמְנַצֵּחַ לְדָוִד בַּיהוָה חָסִיתִי אֵיךְ תֹּאמְרוּ לְנַפְשִׁי נודו [נוּדִי] הַרְכֶם צִפּוֹר׃
כִּי הִנֵּה הָרְשָׁעִים יִדְרְכוּן קֶשֶׁת כּוֹנְנוּ חִצָּם עַל־יֶתֶר לִירוֹת בְּמוֹ־אֹפֶל לְיִשְׁרֵי־לֵב׃
כִּי הַשָּׁתוֹת יֵהָרֵסוּן צַדִּיק מַה־פָּעָל׃
יְהוָה בְּהֵיכַל קָדְשׁוֹ יְהוָה בַּשָּׁמַיִם כִּסְאוֹ עֵינָיו יֶחֱזוּ עַפְעַפָּיו יִבְחֲנוּ בְּנֵי אָדָם׃
יְהוָה צַדִּיק יִבְחָן וְרָשָׁע וְאֹהֵב חָמָס שָׂנְאָה נַפְשׁוֹ׃
יַמְטֵר עַל־רְשָׁעִים פַּחִים אֵשׁ וְגָפְרִית וְרוּחַ זִלְעָפוֹת מְנָת כּוֹסָם׃
כִּי־צַדִּיק יְהוָה צְדָקוֹת אָהֵב יָשָׁר יֶחֱזוּ פָנֵימוֹ׃</t>
        </is>
      </c>
      <c r="F15" s="10" t="inlineStr"/>
      <c r="G15" s="14" t="inlineStr">
        <is>
          <t>Psalms 11</t>
        </is>
      </c>
      <c r="H15" s="12" t="inlineStr">
        <is>
          <t>Tanach with Nikkud — Public Domain</t>
        </is>
      </c>
      <c r="I15" s="12" t="inlineStr">
        <is>
          <t>sefaria-psalms-11</t>
        </is>
      </c>
    </row>
    <row r="16" ht="199" customHeight="1">
      <c r="A16" s="7">
        <f>IF(LEN(TRIM(F16))=0,"Approved","Comment to address")</f>
        <v/>
      </c>
      <c r="B16" s="8" t="inlineStr">
        <is>
          <t>Psalm 12</t>
        </is>
      </c>
      <c r="C16" s="8" t="inlineStr">
        <is>
          <t>source</t>
        </is>
      </c>
      <c r="D16" s="8" t="inlineStr">
        <is>
          <t>Scriptural</t>
        </is>
      </c>
      <c r="E16" s="9" t="inlineStr">
        <is>
          <t>לַמְנַצֵּחַ עַל־הַשְּׁמִינִית מִזְמוֹר לְדָוִד׃
הוֹשִׁיעָה יְהוָה כִּי־גָמַר חָסִיד כִּי־פַסּוּ אֱמוּנִים מִבְּנֵי אָדָם׃
שָׁוְא יְדַבְּרוּ אִישׁ אֶת־רֵעֵהוּ שְׂפַת חֲלָקוֹת בְּלֵב וָלֵב יְדַבֵּרוּ׃
יַכְרֵת יְהוָה כָּל־שִׂפְתֵי חֲלָקוֹת לָשׁוֹן מְדַבֶּרֶת גְּדֹלוֹת׃
אֲשֶׁר אָמְרוּ לִלְשֹׁנֵנוּ נַגְבִּיר שְׂפָתֵינוּ אִתָּנוּ מִי אָדוֹן לָנוּ׃
מִשֹּׁד עֲנִיִּים מֵאַנְקַת אֶבְיוֹנִים עַתָּה אָקוּם יֹאמַר יְהוָה אָשִׁית בְּיֵשַׁע יָפִיחַ לוֹ׃
אִמֲרוֹת יְהוָה אֲמָרוֹת טְהֹרוֹת כֶּסֶף צָרוּף בַּעֲלִיל לָאָרֶץ מְזֻקָּק שִׁבְעָתָיִם׃
אַתָּה־יְהוָה תִּשְׁמְרֵם תִּצְּרֶנּוּ מִן־הַדּוֹר זוּ לְעוֹלָם׃
סָבִיב רְשָׁעִים יִתְהַלָּכוּן כְּרֻם זֻלּוּת לִבְנֵי אָדָם׃</t>
        </is>
      </c>
      <c r="F16" s="10" t="inlineStr"/>
      <c r="G16" s="11" t="inlineStr">
        <is>
          <t>Psalms 12</t>
        </is>
      </c>
      <c r="H16" s="8" t="inlineStr">
        <is>
          <t>Tanach with Nikkud — Public Domain</t>
        </is>
      </c>
      <c r="I16" s="8" t="inlineStr">
        <is>
          <t>sefaria-psalms-12</t>
        </is>
      </c>
    </row>
    <row r="17" ht="165" customHeight="1">
      <c r="A17" s="7">
        <f>IF(LEN(TRIM(F17))=0,"Approved","Comment to address")</f>
        <v/>
      </c>
      <c r="B17" s="12" t="inlineStr">
        <is>
          <t>Psalm 13</t>
        </is>
      </c>
      <c r="C17" s="12" t="inlineStr">
        <is>
          <t>health</t>
        </is>
      </c>
      <c r="D17" s="12" t="inlineStr">
        <is>
          <t>Scriptural</t>
        </is>
      </c>
      <c r="E17" s="13" t="inlineStr">
        <is>
          <t>לַמְנַצֵּחַ מִזְמוֹר לְדָוִד׃
עַד־אָנָה יְהוָה תִּשְׁכָּחֵנִי נֶצַח עַד־אָנָה תַּסְתִּיר אֶת־פָּנֶיךָ מִמֶּנִּי׃
עַד־אָנָה אָשִׁית עֵצוֹת בְּנַפְשִׁי יָגוֹן בִּלְבָבִי יוֹמָם עַד־אָנָה יָרוּם אֹיְבִי עָלָי׃
הַבִּיטָה עֲנֵנִי יְהוָה אֱלֹהָי הָאִירָה עֵינַי פֶּן־אִישַׁן הַמָּוֶת׃
פֶּן־יֹאמַר אֹיְבִי יְכָלְתִּיו צָרַי יָגִילוּ כִּי אֶמּוֹט׃
וַאֲנִי בְּחַסְדְּךָ בָטַחְתִּי יָגֵל לִבִּי בִּישׁוּעָתֶךָ אָשִׁירָה לַיהוָה כִּי גָמַל עָלָי׃</t>
        </is>
      </c>
      <c r="F17" s="10" t="inlineStr"/>
      <c r="G17" s="14" t="inlineStr">
        <is>
          <t>Psalms 13</t>
        </is>
      </c>
      <c r="H17" s="12" t="inlineStr">
        <is>
          <t>Tanach with Nikkud — Public Domain</t>
        </is>
      </c>
      <c r="I17" s="12" t="inlineStr">
        <is>
          <t>sefaria-psalms-13</t>
        </is>
      </c>
    </row>
    <row r="18" ht="199" customHeight="1">
      <c r="A18" s="7">
        <f>IF(LEN(TRIM(F18))=0,"Approved","Comment to address")</f>
        <v/>
      </c>
      <c r="B18" s="8" t="inlineStr">
        <is>
          <t>Psalm 14</t>
        </is>
      </c>
      <c r="C18" s="8" t="inlineStr">
        <is>
          <t>source</t>
        </is>
      </c>
      <c r="D18" s="8" t="inlineStr">
        <is>
          <t>Scriptural</t>
        </is>
      </c>
      <c r="E18" s="9" t="inlineStr">
        <is>
          <t>לַמְנַצֵּחַ לְדָוִד אָמַר נָבָל בְּלִבּוֹ אֵין אֱלֹהִים הִשְׁחִיתוּ הִתְעִיבוּ עֲלִילָה אֵין עֹשֵׂה־טוֹב׃
יְהוָה מִשָּׁמַיִם הִשְׁקִיף עַל־בְּנֵי־אָדָם לִרְאוֹת הֲיֵשׁ מַשְׂכִּיל דֹּרֵשׁ אֶת־אֱלֹהִים׃
הַכֹּל סָר יַחְדָּו נֶאֱלָחוּ אֵין עֹשֵׂה־טוֹב אֵין גַּם־אֶחָד׃
הֲלֹא יָדְעוּ כָּל־פֹּעֲלֵי אָוֶן אֹכְלֵי עַמִּי אָכְלוּ לֶחֶם יְהוָה לֹא קָרָאוּ׃
שָׁם פָּחֲדוּ פָחַד כִּי־אֱלֹהִים בְּדוֹר צַדִּיק׃
עֲצַת־עָנִי תָבִישׁוּ כִּי יְהוָה מַחְסֵהוּ׃
מִי יִתֵּן מִצִּיּוֹן יְשׁוּעַת יִשְׂרָאֵל בְּשׁוּב יְהוָה שְׁבוּת עַמּוֹ יָגֵל יַעֲקֹב יִשְׂמַח יִשְׂרָאֵל׃</t>
        </is>
      </c>
      <c r="F18" s="10" t="inlineStr"/>
      <c r="G18" s="11" t="inlineStr">
        <is>
          <t>Psalms 14</t>
        </is>
      </c>
      <c r="H18" s="8" t="inlineStr">
        <is>
          <t>Tanach with Nikkud — Public Domain</t>
        </is>
      </c>
      <c r="I18" s="8" t="inlineStr">
        <is>
          <t>sefaria-psalms-14</t>
        </is>
      </c>
    </row>
    <row r="19" ht="148" customHeight="1">
      <c r="A19" s="7">
        <f>IF(LEN(TRIM(F19))=0,"Approved","Comment to address")</f>
        <v/>
      </c>
      <c r="B19" s="12" t="inlineStr">
        <is>
          <t>Psalm 15</t>
        </is>
      </c>
      <c r="C19" s="12" t="inlineStr">
        <is>
          <t>study</t>
        </is>
      </c>
      <c r="D19" s="12" t="inlineStr">
        <is>
          <t>Scriptural</t>
        </is>
      </c>
      <c r="E19" s="13" t="inlineStr">
        <is>
          <t>מִזְמוֹר לְדָוִד יְהֹוָה מִי־יָגוּר בְּאָהֳלֶךָ מִי־יִשְׁכֹּן בְּהַר קָדְשֶׁךָ׃
הוֹלֵךְ תָּמִים וּפֹעֵל צֶדֶק וְדֹבֵר אֱמֶת בִּלְבָבוֹ׃
לֹא־רָגַל עַל־לְשֹׁנוֹ לֹא־עָשָׂה לְרֵעֵהוּ רָעָה וְחֶרְפָּה לֹא־נָשָׂא עַל־קְרֹבוֹ׃
נִבְזֶה בְּעֵינָיו נִמְאָס וְאֶת־יִרְאֵי יְהוָה יְכַבֵּד נִשְׁבַּע לְהָרַע וְלֹא יָמִר׃
כַּסְפּוֹ לֹא־נָתַן בְּנֶשֶׁךְ וְשֹׁחַד עַל־נָקִי לֹא לָקָח עֹשֵׂה־אֵלֶּה לֹא יִמּוֹט לְעוֹלָם׃</t>
        </is>
      </c>
      <c r="F19" s="10" t="inlineStr"/>
      <c r="G19" s="14" t="inlineStr">
        <is>
          <t>Psalms 15</t>
        </is>
      </c>
      <c r="H19" s="12" t="inlineStr">
        <is>
          <t>Tanach with Nikkud — Public Domain</t>
        </is>
      </c>
      <c r="I19" s="12" t="inlineStr">
        <is>
          <t>sefaria-psalms-15</t>
        </is>
      </c>
    </row>
    <row r="20" ht="233" customHeight="1">
      <c r="A20" s="7">
        <f>IF(LEN(TRIM(F20))=0,"Approved","Comment to address")</f>
        <v/>
      </c>
      <c r="B20" s="8" t="inlineStr">
        <is>
          <t>Psalm 16</t>
        </is>
      </c>
      <c r="C20" s="8" t="inlineStr">
        <is>
          <t>protection</t>
        </is>
      </c>
      <c r="D20" s="8" t="inlineStr">
        <is>
          <t>Scriptural</t>
        </is>
      </c>
      <c r="E20" s="9" t="inlineStr">
        <is>
          <t>מִכְתָּם לְדָוִד שָׁמְרֵנִי אֵל כִּי־חָסִיתִי בָךְ׃
אָמַרְתְּ לַיהוָה אֲדֹנָי אָתָּה טוֹבָתִי בַּל־עָלֶיךָ׃
לִקְדוֹשִׁים אֲשֶׁר־בָּאָרֶץ הֵמָּה וְאַדִּירֵי כָּל־חֶפְצִי־בָם׃
יִרְבּוּ עַצְּבוֹתָם אַחֵר מָהָרוּ בַּל־אַסִּיךְ נִסְכֵּיהֶם מִדָּם וּבַל־אֶשָּׂא אֶת־שְׁמוֹתָם עַל־שְׂפָתָי׃
יְהוָה מְנָת־חֶלְקִי וְכוֹסִי אַתָּה תּוֹמִיךְ גּוֹרָלִי׃
חֲבָלִים נָפְלוּ־לִי בַּנְּעִמִים אַף־נַחֲלָת שָׁפְרָה עָלָי׃
אֲבָרֵךְ אֶת־יְהוָה אֲשֶׁר יְעָצָנִי אַף־לֵילוֹת יִסְּרוּנִי כִלְיוֹתָי׃
שִׁוִּיתִי יְהוָה לְנֶגְדִּי תָמִיד כִּי מִימִינִי בַּל־אֶמּוֹט׃
לָכֵן שָׂמַח לִבִּי וַיָּגֶל כְּבוֹדִי אַף־בְּשָׂרִי יִשְׁכֹּן לָבֶטַח׃
כִּי לֹא־תַעֲזֹב נַפְשִׁי לִשְׁאוֹל לֹא־תִתֵּן חֲסִידְךָ לִרְאוֹת שָׁחַת׃
תּוֹדִיעֵנִי אֹרַח חַיִּים שֹׂבַע שְׂמָחוֹת אֶת־פָּנֶיךָ נְעִמוֹת בִּימִינְךָ נֶצַח׃</t>
        </is>
      </c>
      <c r="F20" s="10" t="inlineStr"/>
      <c r="G20" s="11" t="inlineStr">
        <is>
          <t>Psalms 16</t>
        </is>
      </c>
      <c r="H20" s="8" t="inlineStr">
        <is>
          <t>Tanach with Nikkud — Public Domain</t>
        </is>
      </c>
      <c r="I20" s="8" t="inlineStr">
        <is>
          <t>sefaria-psalms-16</t>
        </is>
      </c>
    </row>
    <row r="21" ht="318" customHeight="1">
      <c r="A21" s="7">
        <f>IF(LEN(TRIM(F21))=0,"Approved","Comment to address")</f>
        <v/>
      </c>
      <c r="B21" s="12" t="inlineStr">
        <is>
          <t>Psalm 17</t>
        </is>
      </c>
      <c r="C21" s="12" t="inlineStr">
        <is>
          <t>protection</t>
        </is>
      </c>
      <c r="D21" s="12" t="inlineStr">
        <is>
          <t>Scriptural</t>
        </is>
      </c>
      <c r="E21" s="13" t="inlineStr">
        <is>
          <t>תְּפִלָּה לְדָוִד שִׁמְעָה יְהוָה צֶדֶק הַקְשִׁיבָה רִנָּתִי הַאֲזִינָה תְפִלָּתִי בְּלֹא שִׂפְתֵי מִרְמָה׃
מִלְּפָנֶיךָ מִשְׁפָּטִי יֵצֵא עֵינֶיךָ תֶּחֱזֶינָה מֵישָׁרִים׃
בָּחַנְתָּ לִבִּי פָּקַדְתָּ לַּיְלָה צְרַפְתַּנִי בַל־תִּמְצָא זַמֹּתִי בַּל־יַעֲבָר־פִּי׃
לִפְעֻלּוֹת אָדָם בִּדְבַר שְׂפָתֶיךָ אֲנִי שָׁמַרְתִּי אָרְחוֹת פָּרִיץ׃
תָּמֹךְ אֲשֻׁרַי בְּמַעְגְּלוֹתֶיךָ בַּל־נָמוֹטּוּ פְעָמָי׃
אֲנִי־קְרָאתִיךָ כִי־תַעֲנֵנִי אֵל הַט־אָזְנְךָ לִי שְׁמַע אִמְרָתִי׃
הַפְלֵה חֲסָדֶיךָ מוֹשִׁיעַ חוֹסִים מִמִּתְקוֹמְמִים בִּימִינֶךָ׃
שָׁמְרֵנִי כְּאִישׁוֹן בַּת־עָיִן בְּצֵל כְּנָפֶיךָ תַּסְתִּירֵנִי׃
מִפְּנֵי רְשָׁעִים זוּ שַׁדּוּנִי אֹיְבַי בְּנֶפֶשׁ יַקִּיפוּ עָלָי׃
חֶלְבָּמוֹ סָּגְרוּ פִּימוֹ דִּבְּרוּ בְגֵאוּת׃
אַשֻּׁרֵינוּ עַתָּה סבבוני [סְבָבוּנוּ] עֵינֵיהֶם יָשִׁיתוּ לִנְטוֹת בָּאָרֶץ׃
דִּמְיֹנוֹ כְּאַרְיֵה יִכְסוֹף לִטְרוֹף וְכִכְפִיר יֹשֵׁב בְּמִסְתָּרִים׃
קוּמָה יְהוָה קַדְּמָה פָנָיו הַכְרִיעֵהוּ פַּלְּטָה נַפְשִׁי מֵרָשָׁע חַרְבֶּךָ׃
מִמְתִים יָדְךָ יְהוָה מִמְתִים מֵחֶלֶד חֶלְקָם בַּחַיִּים וצפינך [וּצְפוּנְךָ] תְּמַלֵּא בִטְנָם יִשְׂבְּעוּ בָנִים וְהִנִּיחוּ יִתְרָם לְעוֹלְלֵיהֶם׃
אֲנִי בְּצֶדֶק אֶחֱזֶה פָנֶיךָ אֶשְׂבְּעָה בְהָקִיץ תְּמוּנָתֶךָ׃</t>
        </is>
      </c>
      <c r="F21" s="10" t="inlineStr"/>
      <c r="G21" s="14" t="inlineStr">
        <is>
          <t>Psalms 17</t>
        </is>
      </c>
      <c r="H21" s="12" t="inlineStr">
        <is>
          <t>Tanach with Nikkud — Public Domain</t>
        </is>
      </c>
      <c r="I21" s="12" t="inlineStr">
        <is>
          <t>sefaria-psalms-17</t>
        </is>
      </c>
    </row>
    <row r="22" ht="409" customHeight="1">
      <c r="A22" s="7">
        <f>IF(LEN(TRIM(F22))=0,"Approved","Comment to address")</f>
        <v/>
      </c>
      <c r="B22" s="8" t="inlineStr">
        <is>
          <t>Psalm 18</t>
        </is>
      </c>
      <c r="C22" s="8" t="inlineStr">
        <is>
          <t>protection</t>
        </is>
      </c>
      <c r="D22" s="8" t="inlineStr">
        <is>
          <t>Scriptural</t>
        </is>
      </c>
      <c r="E22" s="9" t="inlineStr">
        <is>
          <t>לַמְנַצֵּחַ לְעֶבֶד יְהוָה לְדָוִד אֲשֶׁר דִּבֶּר לַיהוָה אֶת־דִּבְרֵי הַשִּׁירָה הַזֹּאת בְּיוֹם הִצִּיל־יְהוָה אוֹתוֹ מִכַּף כָּל־אֹיְבָיו וּמִיַּד שָׁאוּל׃
וַיֹּאמַר אֶרְחָמְךָ יְהוָה חִזְקִי׃
יְהוָה סַלְעִי וּמְצוּדָתִי וּמְפַלְטִי אֵלִי צוּרִי אֶחֱסֶה־בּוֹ מָגִנִּי וְקֶרֶן־יִשְׁעִי מִשְׂגַּבִּי׃
מְהֻלָּל אֶקְרָא יְהוָה וּמִן־אֹיְבַי אִוָּשֵׁעַ׃
אֲפָפוּנִי חֶבְלֵי־מָוֶת וְנַחֲלֵי בְלִיַּעַל יְבַעֲתוּנִי׃
חֶבְלֵי שְׁאוֹל סְבָבוּנִי קִדְּמוּנִי מוֹקְשֵׁי מָוֶת׃
בַּצַּר־לִי אֶקְרָא יְהוָה וְאֶל־אֱלֹהַי אֲשַׁוֵּעַ יִשְׁמַע מֵהֵיכָלוֹ קוֹלִי וְשַׁוְעָתִי לְפָנָיו תָּבוֹא בְאָזְנָיו׃
וַתִּגְעַשׁ וַתִּרְעַשׁ הָאָרֶץ וּמוֹסְדֵי הָרִים יִרְגָּזוּ וַיִּתְגָּעֲשׁוּ כִּי־חָרָה לוֹ׃
עָלָה עָשָׁן בְּאַפּוֹ וְאֵשׁ־מִפִּיו תֹּאכֵל גֶּחָלִים בָּעֲרוּ מִמֶּנּוּ׃
וַיֵּט שָׁמַיִם וַיֵּרַד וַעֲרָפֶל תַּחַת רַגְלָיו׃
וַיִּרְכַּב עַל־כְּרוּב וַיָּעֹף וַיֵּדֶא עַל־כַּנְפֵי־רוּחַ׃
יָשֶׁת חֹשֶׁךְ סִתְרוֹ סְבִיבוֹתָיו סֻכָּתוֹ חֶשְׁכַת־מַיִם עָבֵי שְׁחָקִים׃
מִנֹּגַהּ נֶגְדּוֹ עָבָיו עָבְרוּ בָּרָד וְגַחֲלֵי־אֵשׁ׃
וַיַּרְעֵם בַּשָּׁמַיִם יְהוָה וְעֶלְיוֹן יִתֵּן קֹלוֹ בָּרָד וְגַחֲלֵי־אֵשׁ׃
וַיִּשְׁלַח חִצָּיו וַיְפִיצֵם וּבְרָקִים רָב וַיְהֻמֵּם׃
וַיֵּרָאוּ אֲפִיקֵי מַיִם וַיִּגָּלוּ מוֹסְדוֹת תֵּבֵל מִגַּעֲרָתְךָ יְהוָה מִנִּשְׁמַת רוּחַ אַפֶּךָ׃
יִשְׁלַח מִמָּרוֹם יִקָּחֵנִי יַמְשֵׁנִי מִמַּיִם רַבִּים׃
יַצִּילֵנִי מֵאֹיְבִי עָז וּמִשֹּׂנְאַי כִּי־אָמְצוּ מִמֶּנִּי׃
יְקַדְּמוּנִי בְיוֹם־אֵידִי וַיְהִי־יְהוָה לְמִשְׁעָן לִי׃
וַיּוֹצִיאֵנִי לַמֶּרְחָב יְחַלְּצֵנִי כִּי חָפֵץ בִּי׃
יִגְמְלֵנִי יְהוָה כְּצִדְקִי כְּבֹר יָדַי יָשִׁיב לִי׃
כִּי־שָׁמַרְתִּי דַּרְכֵי יְהוָה וְלֹא־רָשַׁעְתִּי מֵאֱלֹהָי׃
כִּי כָל־מִשְׁפָּטָיו לְנֶגְדִּי וְחֻקֹּתָיו לֹא־אָסִיר מֶנִּי׃
וָאֱהִי תָמִים עִמּוֹ וָאֶשְׁתַּמֵּר מֵעֲוֺנִי׃
וַיָּשֶׁב־יְהוָה לִי כְצִדְקִי כְּבֹר יָדַי לְנֶגֶד עֵינָיו׃
עִם־חָסִיד תִּתְחַסָּד עִם־גְּבַר תָּמִים תִּתַּמָּם׃
עִם־נָבָר תִּתְבָּרָר וְעִם־עִקֵּשׁ תִּתְפַּתָּל׃
כִּי־אַתָּה עַם־עָנִי תוֹשִׁיעַ וְעֵינַיִם רָמוֹת תַּשְׁפִּיל׃
כִּי־אַתָּה תָּאִיר נֵרִי יְהוָה אֱלֹהַי יַגִּיהַּ חָשְׁכִּי׃
כִּי־בְךָ אָרֻץ גְּדוּד וּבֵאלֹהַי אֲדַלֶּג־שׁוּר׃
הָאֵל תָּמִים דַּרְכּוֹ אִמְרַת־יְהוָה צְרוּפָה מָגֵן הוּא לְכֹל הַחֹסִים בּוֹ׃
כִּי מִי אֱלוֹהַּ מִבַּלְעֲדֵי יְהוָה וּמִי צוּר זוּלָתִי אֱלֹהֵינוּ׃
הָאֵל הַמְאַזְּרֵנִי חָיִל וַיִּתֵּן תָּמִים דַּרְכִּי׃
מְשַׁוֶּה רַגְלַי כָּאַיָּלוֹת וְעַל בָּמֹתַי יַעֲמִידֵנִי׃
מְלַמֵּד יָדַי לַמִּלְחָמָה וְנִחֲתָה קֶשֶׁת־נְחוּשָׁה זְרוֹעֹתָי׃
וַתִּתֶּן־לִי מָגֵן יִשְׁעֶךָ וִימִינְךָ תִסְעָדֵנִי וְעַנְוַתְךָ תַרְבֵּנִי׃
תַּרְחִיב צַעֲדִי תַחְתָּי וְלֹא מָעֲדוּ קַרְסֻלָּי׃
אֶרְדּוֹף אוֹיְבַי וְאַשִּׂיגֵם וְלֹא־אָשׁוּב עַד־כַּלּוֹתָם׃
אֶמְחָצֵם וְלֹא־יֻכְלוּ קוּם יִפְּלוּ תַּחַת רַגְלָי׃
וַתְּאַזְּרֵנִי חַיִל לַמִּלְחָמָה תַּכְרִיעַ קָמַי תַּחְתָּי׃
וְאֹיְבַי נָתַתָּה לִּי עֹרֶף וּמְשַׂנְאַי אַצְמִיתֵם׃
יְשַׁוְּעוּ וְאֵין־מוֹשִׁיעַ עַל־יְהוָה וְלֹא עָנָם׃
וְאֶשְׁחָקֵם כְּעָפָר עַל־פְּנֵי־רוּחַ כְּטִיט חוּצוֹת אֲרִיקֵם׃
תְּפַלְּטֵנִי מֵרִיבֵי עָם תְּשִׂימֵנִי לְרֹאשׁ גּוֹיִם עַם לֹא־יָדַעְתִּי יַעַבְדוּנִי׃
לְשֵׁמַע אֹזֶן יִשָּׁמְעוּ לִי בְּנֵי־נֵכָר יְכַחֲשׁוּ־לִי׃
בְּנֵי־נֵכָר יִבֹּלוּ וְיַחְרְגוּ מִמִּסְגְּרוֹתֵיהֶם׃
חַי־יְהוָה וּבָרוּךְ צוּרִי וְיָרוּם אֱלוֹהֵי יִשְׁעִי׃
הָאֵל הַנּוֹתֵן נְקָמוֹת לִי וַיַּדְבֵּר עַמִּים תַּחְתָּי׃
מְפַלְּטִי מֵאֹיְבָי אַף מִן־קָמַי תְּרוֹמְמֵנִי מֵאִישׁ חָמָס תַּצִּילֵנִי׃
עַל־כֵּן אוֹדְךָ בַגּוֹיִם יְהוָה וּלְשִׁמְךָ אֲזַמֵּרָה׃
מגדל [מַגְדִּיל] יְשׁוּעוֹת מַלְכּוֹ וְעֹשֶׂה חֶסֶד לִמְשִׁיחוֹ לְדָוִד וּלְזַרְעוֹ עַד־עוֹלָם׃</t>
        </is>
      </c>
      <c r="F22" s="10" t="inlineStr"/>
      <c r="G22" s="11" t="inlineStr">
        <is>
          <t>Psalms 18</t>
        </is>
      </c>
      <c r="H22" s="8" t="inlineStr">
        <is>
          <t>Tanach with Nikkud — Public Domain</t>
        </is>
      </c>
      <c r="I22" s="8" t="inlineStr">
        <is>
          <t>sefaria-psalms-18</t>
        </is>
      </c>
    </row>
    <row r="23" ht="352" customHeight="1">
      <c r="A23" s="7">
        <f>IF(LEN(TRIM(F23))=0,"Approved","Comment to address")</f>
        <v/>
      </c>
      <c r="B23" s="12" t="inlineStr">
        <is>
          <t>Psalm 19</t>
        </is>
      </c>
      <c r="C23" s="12" t="inlineStr">
        <is>
          <t>repentance</t>
        </is>
      </c>
      <c r="D23" s="12" t="inlineStr">
        <is>
          <t>Scriptural</t>
        </is>
      </c>
      <c r="E23" s="13" t="inlineStr">
        <is>
          <t>לַמְנַצֵּחַ מִזְמוֹר לְדָוִד׃
הַשָּׁמַיִם מְסַפְּרִים כְּבוֹד־אֵל וּמַעֲשֵׂה יָדָיו מַגִּיד הָרָקִיעַ׃
יוֹם לְיוֹם יַבִּיעַ אֹמֶר וְלַיְלָה לְּלַיְלָה יְחַוֶּה־דָּעַת׃
אֵין־אֹמֶר וְאֵין דְּבָרִים בְּלִי נִשְׁמָע קוֹלָם׃
בְּכָל־הָאָרֶץ יָצָא קַוָּם וּבִקְצֵה תֵבֵל מִלֵּיהֶם לַשֶּׁמֶשׁ שָׂם־אֹהֶל בָּהֶם׃
וְהוּא כְּחָתָן יֹצֵא מֵחֻפָּתוֹ יָשִׂישׂ כְּגִבּוֹר לָרוּץ אֹרַח׃
מִקְצֵה הַשָּׁמַיִם מוֹצָאוֹ וּתְקוּפָתוֹ עַל־קְצוֹתָם וְאֵין נִסְתָּר מֵחַמָּתוֹ׃
תּוֹרַת יְהוָה תְּמִימָה מְשִׁיבַת נָפֶשׁ עֵדוּת יְהוָה נֶאֱמָנָה מַחְכִּימַת פֶּתִי׃
פִּקּוּדֵי יְהוָה יְשָׁרִים מְשַׂמְּחֵי־לֵב מִצְוַת יְהוָה בָּרָה מְאִירַת עֵינָיִם׃
יִרְאַת יְהוָה טְהוֹרָה עוֹמֶדֶת לָעַד מִשְׁפְּטֵי־יְהוָה אֱמֶת צָדְקוּ יַחְדָּו׃
הַנֶּחֱמָדִים מִזָּהָב וּמִפַּז רָב וּמְתוּקִים מִדְּבַשׁ וְנֹפֶת צוּפִים׃
גַּם־עַבְדְּךָ נִזְהָר בָּהֶם בְּשָׁמְרָם עֵקֶב רָב׃
שְׁגִיאוֹת מִי־יָבִין מִנִּסְתָּרוֹת נַקֵּנִי׃
גַּם מִזֵּדִים חֲשֹׂךְ עַבְדֶּךָ אַל־יִמְשְׁלוּ־בִי אָז אֵיתָם וְנִקֵּיתִי מִפֶּשַׁע רָב׃
יִהְיוּ לְרָצוֹן אִמְרֵי־פִי וְהֶגְיוֹן לִבִּי לְפָנֶיךָ יְהוָה צוּרִי וְגֹאֲלִי׃</t>
        </is>
      </c>
      <c r="F23" s="10" t="inlineStr"/>
      <c r="G23" s="14" t="inlineStr">
        <is>
          <t>Psalms 19</t>
        </is>
      </c>
      <c r="H23" s="12" t="inlineStr">
        <is>
          <t>Tanach with Nikkud — Public Domain</t>
        </is>
      </c>
      <c r="I23" s="12" t="inlineStr">
        <is>
          <t>sefaria-psalms-19</t>
        </is>
      </c>
    </row>
    <row r="24" ht="233" customHeight="1">
      <c r="A24" s="7">
        <f>IF(LEN(TRIM(F24))=0,"Approved","Comment to address")</f>
        <v/>
      </c>
      <c r="B24" s="8" t="inlineStr">
        <is>
          <t>Psalm 20</t>
        </is>
      </c>
      <c r="C24" s="8" t="inlineStr">
        <is>
          <t>protection</t>
        </is>
      </c>
      <c r="D24" s="8" t="inlineStr">
        <is>
          <t>Scriptural</t>
        </is>
      </c>
      <c r="E24" s="9" t="inlineStr">
        <is>
          <t>לַמְנַצֵּחַ מִזְמוֹר לְדָוִד׃
יַעַנְךָ יְהוָה בְּיוֹם צָרָה יְשַׂגֶּבְךָ שֵׁם אֱלֹהֵי יַעֲקֹב׃
יִשְׁלַח־עֶזְרְךָ מִקֹּדֶשׁ וּמִצִּיּוֹן יִסְעָדֶךָּ׃
יִזְכֹּר כָּל־מִנְחֹתֶךָ וְעוֹלָתְךָ יְדַשְּׁנֶה סֶלָה׃
יִתֶּן־לְךָ כִלְבָבֶךָ וְכָל־עֲצָתְךָ יְמַלֵּא׃
נְרַנְּנָה בִּישׁוּעָתֶךָ וּבְשֵׁם־אֱלֹהֵינוּ נִדְגֹּל יְמַלֵּא יְהוָה כָּל־מִשְׁאֲלוֹתֶיךָ׃
עַתָּה יָדַעְתִּי כִּי הוֹשִׁיעַ יְהוָה מְשִׁיחוֹ יַעֲנֵהוּ מִשְּׁמֵי קָדְשׁוֹ בִּגְבֻרוֹת יֵשַׁע יְמִינוֹ׃
אֵלֶּה בָרֶכֶב וְאֵלֶּה בַסּוּסִים וַאֲנַחְנוּ בְּשֵׁם־יְהוָה אֱלֹהֵינוּ נַזְכִּיר׃
הֵמָּה כָּרְעוּ וְנָפָלוּ וַאֲנַחְנוּ קַּמְנוּ וַנִּתְעוֹדָד׃
יְהוָה הוֹשִׁיעָה הַמֶּלֶךְ יַעֲנֵנוּ בְיוֹם־קָרְאֵנוּ׃</t>
        </is>
      </c>
      <c r="F24" s="10" t="inlineStr"/>
      <c r="G24" s="11" t="inlineStr">
        <is>
          <t>Psalms 20</t>
        </is>
      </c>
      <c r="H24" s="8" t="inlineStr">
        <is>
          <t>Tanach with Nikkud — Public Domain</t>
        </is>
      </c>
      <c r="I24" s="8" t="inlineStr">
        <is>
          <t>sefaria-psalms-20</t>
        </is>
      </c>
    </row>
    <row r="25" ht="267" customHeight="1">
      <c r="A25" s="7">
        <f>IF(LEN(TRIM(F25))=0,"Approved","Comment to address")</f>
        <v/>
      </c>
      <c r="B25" s="12" t="inlineStr">
        <is>
          <t>Psalm 21</t>
        </is>
      </c>
      <c r="C25" s="12" t="inlineStr">
        <is>
          <t>thanks</t>
        </is>
      </c>
      <c r="D25" s="12" t="inlineStr">
        <is>
          <t>Scriptural</t>
        </is>
      </c>
      <c r="E25" s="13" t="inlineStr">
        <is>
          <t>לַמְנַצֵּחַ מִזְמוֹר לְדָוִד׃
יְהוָה בְּעָזְּךָ יִשְׂמַח־מֶלֶךְ וּבִישׁוּעָתְךָ מַה־יגיל [יָּגֶל] מְאֹד׃
תַּאֲוַת לִבּוֹ נָתַתָּה לּוֹ וַאֲרֶשֶׁת שְׂפָתָיו בַּל־מָנַעְתָּ סֶּלָה׃
כִּי־תְקַדְּמֶנּוּ בִּרְכוֹת טוֹב תָּשִׁית לְרֹאשׁוֹ עֲטֶרֶת פָּז׃
חַיִּים שָׁאַל מִמְּךָ נָתַתָּה לּוֹ אֹרֶךְ יָמִים עוֹלָם וָעֶד׃
גָּדוֹל כְּבוֹדוֹ בִּישׁוּעָתֶךָ הוֹד וְהָדָר תְּשַׁוֶּה עָלָיו׃
כִּי־תְשִׁיתֵהוּ בְרָכוֹת לָעַד תְּחַדֵּהוּ בְשִׂמְחָה אֶת־פָּנֶיךָ׃
כִּי־הַמֶּלֶךְ בֹּטֵחַ בַּיהוָה וּבְחֶסֶד עֶלְיוֹן בַּל־יִמּוֹט׃
תִּמְצָא יָדְךָ לְכָל־אֹיְבֶיךָ יְמִינְךָ תִּמְצָא שֹׂנְאֶיךָ׃
תְּשִׁיתֵמוֹ כְּתַנּוּר אֵשׁ לְעֵת פָּנֶיךָ יְהוָה בְּאַפּוֹ יְבַלְּעֵם וְתֹאכְלֵם אֵשׁ׃
פִּרְיָמוֹ מֵאֶרֶץ תְּאַבֵּד וְזַרְעָם מִבְּנֵי אָדָם׃
כִּי־נָטוּ עָלֶיךָ רָעָה חָשְׁבוּ מְזִמָּה בַּל־יוּכָלוּ׃
כִּי תְּשִׁיתֵמוֹ שֶׁכֶם בְּמֵיתָרֶיךָ תְּכוֹנֵן עַל־פְּנֵיהֶם׃
רוּמָה יְהוָה בְּעֻזֶּךָ נָשִׁירָה וּנְזַמְּרָה גְּבוּרָתֶךָ׃</t>
        </is>
      </c>
      <c r="F25" s="10" t="inlineStr"/>
      <c r="G25" s="14" t="inlineStr">
        <is>
          <t>Psalms 21</t>
        </is>
      </c>
      <c r="H25" s="12" t="inlineStr">
        <is>
          <t>Tanach with Nikkud — Public Domain</t>
        </is>
      </c>
      <c r="I25" s="12" t="inlineStr">
        <is>
          <t>sefaria-psalms-21</t>
        </is>
      </c>
    </row>
    <row r="26" ht="409" customHeight="1">
      <c r="A26" s="7">
        <f>IF(LEN(TRIM(F26))=0,"Approved","Comment to address")</f>
        <v/>
      </c>
      <c r="B26" s="8" t="inlineStr">
        <is>
          <t>Psalm 22</t>
        </is>
      </c>
      <c r="C26" s="8" t="inlineStr">
        <is>
          <t>health</t>
        </is>
      </c>
      <c r="D26" s="8" t="inlineStr">
        <is>
          <t>Scriptural</t>
        </is>
      </c>
      <c r="E26" s="9" t="inlineStr">
        <is>
          <t>לַמְנַצֵּחַ עַל־אַיֶּלֶת הַשַּׁחַר מִזְמוֹר לְדָוִד׃
אֵלִי אֵלִי לָמָה עֲזַבְתָּנִי רָחוֹק מִישׁוּעָתִי דִּבְרֵי שַׁאֲגָתִי׃
אֱ‍לֹהַי אֶקְרָא יוֹמָם וְלֹא תַעֲנֶה וְלַיְלָה וְלֹא־דוּמִיָּה לִי׃
וְאַתָּה קָדוֹשׁ יוֹשֵׁב תְּהִלּוֹת יִשְׂרָאֵל׃
בְּךָ בָּטְחוּ אֲבֹתֵינוּ בָּטְחוּ וַתְּפַלְּטֵמוֹ׃
אֵלֶיךָ זָעֲקוּ וְנִמְלָטוּ בְּךָ בָטְחוּ וְלֹא־בוֹשׁוּ׃
וְאָנֹכִי תוֹלַעַת וְלֹא־אִישׁ חֶרְפַּת אָדָם וּבְזוּי עָם׃
כָּל־רֹאַי יַלְעִגוּ לִי יַפְטִירוּ בְשָׂפָה יָנִיעוּ רֹאשׁ׃
גֹּל אֶל־יְהוָה יְפַלְּטֵהוּ יַצִּילֵהוּ כִּי חָפֵץ בּוֹ׃
כִּי־אַתָּה גֹחִי מִבָּטֶן מַבְטִיחִי עַל־שְׁדֵי אִמִּי׃
עָלֶיךָ הָשְׁלַכְתִּי מֵרָחֶם מִבֶּטֶן אִמִּי אֵלִי אָתָּה׃
אַל־תִּרְחַק מִמֶּנִּי כִּי־צָרָה קְרוֹבָה כִּי־אֵין עוֹזֵר׃
סְבָבוּנִי פָּרִים רַבִּים אַבִּירֵי בָשָׁן כִּתְּרוּנִי׃
פָּצוּ עָלַי פִּיהֶם אַרְיֵה טֹרֵף וְשֹׁאֵג׃
כַּמַּיִם נִשְׁפַּכְתִּי וְהִתְפָּרְדוּ כָּל־עַצְמוֹתָי הָיָה לִבִּי כַּדּוֹנָג נָמֵס בְּתוֹךְ מֵעָי׃
יָבֵשׁ כַּחֶרֶשׂ כֹּחִי וּלְשׁוֹנִי מֻדְבָּק מַלְקוֹחָי וְלַעֲפַר־מָוֶת תִּשְׁפְּתֵנִי׃
כִּי סְבָבוּנִי כְּלָבִים עֲדַת מְרֵעִים הִקִּיפוּנִי כָּאֲרִי יָדַי וְרַגְלָי׃
אֲסַפֵּר כָּל־עַצְמוֹתָי הֵמָּה יַבִּיטוּ יִרְאוּ־בִי׃
יְחַלְּקוּ בְגָדַי לָהֶם וְעַל־לְבוּשִׁי יַפִּילוּ גוֹרָל׃
וְאַתָּה יְהוָה אַל־תִּרְחָק אֱיָלוּתִי לְעֶזְרָתִי חוּשָׁה׃
הַצִּילָה מֵחֶרֶב נַפְשִׁי מִיַּד־כֶּלֶב יְחִידָתִי׃
הוֹשִׁיעֵנִי מִפִּי אַרְיֵה וּמִקַּרְנֵי רֵמִים עֲנִיתָנִי׃
אֲסַפְּרָה שִׁמְךָ לְאֶחָי בְּתוֹךְ קָהָל אֲהַלְלֶךָּ׃
יִרְאֵי יְהוָה הַלְלוּהוּ כָּל־זֶרַע יַעֲקֹב כַּבְּדוּהוּ וְגוּרוּ מִמֶּנּוּ כָּל־זֶרַע יִשְׂרָאֵל׃
כִּי לֹא־בָזָה וְלֹא שִׁקַּץ עֱנוּת עָנִי וְלֹא־הִסְתִּיר פָּנָיו מִמֶּנּוּ וּבְשַׁוְּעוֹ אֵלָיו שָׁמֵעַ׃
מֵאִתְּךָ תְהִלָּתִי בְּקָהָל רָב נְדָרַי אֲשַׁלֵּם נֶגֶד יְרֵאָיו׃
יֹאכְלוּ עֲנָוִים וְיִשְׂבָּעוּ יְהַלְלוּ יְהוָה דֹּרְשָׁיו יְחִי לְבַבְכֶם לָעַד׃
יִזְכְּרוּ וְיָשֻׁבוּ אֶל־יְהוָה כָּל־אַפְסֵי־אָרֶץ וְיִשְׁתַּחֲווּ לְפָנֶיךָ כָּל־מִשְׁפְּחוֹת גּוֹיִם׃
כִּי לַיהוָה הַמְּלוּכָה וּמֹשֵׁל בַּגּוֹיִם׃
אָכְלוּ וַיִּשְׁתַּחֲוּוּ כָּל־דִּשְׁנֵי־אֶרֶץ לְפָנָיו יִכְרְעוּ כָּל־יוֹרְדֵי עָפָר וְנַפְשׁוֹ לֹא חִיָּה׃
זֶרַע יַעַבְדֶנּוּ יְסֻפַּר לַאדֹנָי לַדּוֹר׃
יָבֹאוּ וְיַגִּידוּ צִדְקָתוֹ לְעַם נוֹלָד כִּי עָשָׂה׃</t>
        </is>
      </c>
      <c r="F26" s="10" t="inlineStr"/>
      <c r="G26" s="11" t="inlineStr">
        <is>
          <t>Psalms 22</t>
        </is>
      </c>
      <c r="H26" s="8" t="inlineStr">
        <is>
          <t>Tanach with Nikkud — Public Domain</t>
        </is>
      </c>
      <c r="I26" s="8" t="inlineStr">
        <is>
          <t>sefaria-psalms-22</t>
        </is>
      </c>
    </row>
    <row r="27" ht="165" customHeight="1">
      <c r="A27" s="7">
        <f>IF(LEN(TRIM(F27))=0,"Approved","Comment to address")</f>
        <v/>
      </c>
      <c r="B27" s="12" t="inlineStr">
        <is>
          <t>Psalm 23</t>
        </is>
      </c>
      <c r="C27" s="12" t="inlineStr">
        <is>
          <t>health</t>
        </is>
      </c>
      <c r="D27" s="12" t="inlineStr">
        <is>
          <t>Scriptural</t>
        </is>
      </c>
      <c r="E27" s="13" t="inlineStr">
        <is>
          <t>מִזְמוֹר לְדָוִד יְהוָה רֹעִי לֹא אֶחְסָר׃
בִּנְאוֹת דֶּשֶׁא יַרְבִּיצֵנִי עַל־מֵי מְנֻחוֹת יְנַהֲלֵנִי׃
נַפְשִׁי יְשׁוֹבֵב יַנְחֵנִי בְמַעְגְּלֵי־צֶדֶק לְמַעַן שְׁמוֹ׃
גַּם כִּי־אֵלֵךְ בְּגֵיא צַלְמָוֶת לֹא־אִירָא רָע כִּי־אַתָּה עִמָּדִי שִׁבְטְךָ וּמִשְׁעַנְתֶּךָ הֵמָּה יְנַחֲמֻנִי׃
תַּעֲרֹךְ לְפָנַי שֻׁלְחָן נֶגֶד צֹרְרָי דִּשַּׁנְתָּ בַשֶּׁמֶן רֹאשִׁי כּוֹסִי רְוָיָה׃
אַךְ טוֹב וָחֶסֶד יִרְדְּפוּנִי כָּל־יְמֵי חַיָּי וְשַׁבְתִּי בְּבֵית־יְהוָה לְאֹרֶךְ יָמִים׃</t>
        </is>
      </c>
      <c r="F27" s="10" t="inlineStr"/>
      <c r="G27" s="14" t="inlineStr">
        <is>
          <t>Psalms 23</t>
        </is>
      </c>
      <c r="H27" s="12" t="inlineStr">
        <is>
          <t>Tanach with Nikkud — Public Domain</t>
        </is>
      </c>
      <c r="I27" s="12" t="inlineStr">
        <is>
          <t>sefaria-psalms-23</t>
        </is>
      </c>
    </row>
    <row r="28" ht="216" customHeight="1">
      <c r="A28" s="7">
        <f>IF(LEN(TRIM(F28))=0,"Approved","Comment to address")</f>
        <v/>
      </c>
      <c r="B28" s="8" t="inlineStr">
        <is>
          <t>Psalm 24</t>
        </is>
      </c>
      <c r="C28" s="8" t="inlineStr">
        <is>
          <t>repentance</t>
        </is>
      </c>
      <c r="D28" s="8" t="inlineStr">
        <is>
          <t>Scriptural</t>
        </is>
      </c>
      <c r="E28" s="9" t="inlineStr">
        <is>
          <t>לְדָוִד מִזְמוֹר לַיהוָה הָאָרֶץ וּמְלוֹאָהּ תֵּבֵל וְיֹשְׁבֵי בָהּ׃
כִּי־הוּא עַל־יַמִּים יְסָדָהּ וְעַל־נְהָרוֹת יְכוֹנְנֶהָ׃
מִי־יַעֲלֶה בְהַר־יְהוָה וּמִי־יָקוּם בִּמְקוֹם קָדְשׁוֹ׃
נְקִי כַפַּיִם וּבַר־לֵבָב אֲשֶׁר לֹא־נָשָׂא לַשָּׁוְא נַפְשִׁי וְלֹא נִשְׁבַּע לְמִרְמָה׃
יִשָּׂא בְרָכָה מֵאֵת יְהוָה וּצְדָקָה מֵאֱלֹהֵי יִשְׁעוֹ׃
זֶה דּוֹר דרשו [דֹּרְשָׁיו] מְבַקְשֵׁי פָנֶיךָ יַעֲקֹב סֶלָה׃
שְׂאוּ שְׁעָרִים רָאשֵׁיכֶם וְהִנָּשְׂאוּ פִּתְחֵי עוֹלָם וְיָבוֹא מֶלֶךְ הַכָּבוֹד׃
מִי זֶה מֶלֶךְ הַכָּבוֹד יְהוָה עִזּוּז וְגִבּוֹר יְהוָה גִּבּוֹר מִלְחָמָה׃
שְׂאוּ שְׁעָרִים רָאשֵׁיכֶם וּשְׂאוּ פִּתְחֵי עוֹלָם וְיָבֹא מֶלֶךְ הַכָּבוֹד׃
מִי הוּא זֶה מֶלֶךְ הַכָּבוֹד יְהוָה צְבָאוֹת הוּא מֶלֶךְ הַכָּבוֹד סֶלָה׃</t>
        </is>
      </c>
      <c r="F28" s="10" t="inlineStr"/>
      <c r="G28" s="11" t="inlineStr">
        <is>
          <t>Psalms 24</t>
        </is>
      </c>
      <c r="H28" s="8" t="inlineStr">
        <is>
          <t>Tanach with Nikkud — Public Domain</t>
        </is>
      </c>
      <c r="I28" s="8" t="inlineStr">
        <is>
          <t>sefaria-psalms-24</t>
        </is>
      </c>
    </row>
    <row r="29" ht="409" customHeight="1">
      <c r="A29" s="7">
        <f>IF(LEN(TRIM(F29))=0,"Approved","Comment to address")</f>
        <v/>
      </c>
      <c r="B29" s="12" t="inlineStr">
        <is>
          <t>Psalm 25</t>
        </is>
      </c>
      <c r="C29" s="12" t="inlineStr">
        <is>
          <t>repentance</t>
        </is>
      </c>
      <c r="D29" s="12" t="inlineStr">
        <is>
          <t>Scriptural</t>
        </is>
      </c>
      <c r="E29" s="13" t="inlineStr">
        <is>
          <t>לְדָוִד אֵלֶיךָ יְהוָה נַפְשִׁי אֶשָּׂא׃
אֱ‍לֹהַי בְּךָ בָטַחְתִּי אַל־אֵבוֹשָׁה אַל־יַעַלְצוּ אֹיְבַי לִי׃
גַּם כָּל־קֹוֶיךָ לֹא יֵבֹשׁוּ יֵבֹשׁוּ הַבּוֹגְדִים רֵיקָם׃
דְּרָכֶיךָ יְהוָה הוֹדִיעֵנִי אֹרְחוֹתֶיךָ לַמְּדֵנִי׃
הַדְרִיכֵנִי בַאֲמִתֶּךָ וְלַמְּדֵנִי כִּי־אַתָּה אֱלֹהֵי יִשְׁעִי אוֹתְךָ קִוִּיתִי כָּל־הַיּוֹם׃
זְכֹר־רַחֲמֶיךָ יְהוָה וַחֲסָדֶיךָ כִּי מֵעוֹלָם הֵמָּה׃
חַטֹּאות נְעוּרַי וּפְשָׁעַי אַל־תִּזְכֹּר כְּחַסְדְּךָ זְכָר־לִי־אַתָּה לְמַעַן טוּבְךָ יְהוָה׃
טוֹב־וְיָשָׁר יְהוָה עַל־כֵּן יוֹרֶה חַטָּאִים בַּדָּרֶךְ׃
יַדְרֵךְ עֲנָוִים בַּמִּשְׁפָּט וִילַמֵּד עֲנָוִים דַּרְכּוֹ׃
כָּל־אָרְחוֹת יְהוָה חֶסֶד וֶאֱמֶת לְנֹצְרֵי בְרִיתוֹ וְעֵדֹתָיו׃
לְמַעַן־שִׁמְךָ יְהוָה וְסָלַחְתָּ לַעֲוֺנִי כִּי רַב־הוּא׃
מִי־זֶה הָאִישׁ יְרֵא יְהוָה יוֹרֶנּוּ בְּדֶרֶךְ יִבְחָר׃
נַפְשׁוֹ בְּטוֹב תָּלִין וְזַרְעוֹ יִירַשׁ אָרֶץ׃
סוֹד יְהוָה לִירֵאָיו וּבְרִיתוֹ לְהוֹדִיעָם׃
עֵינַי תָּמִיד אֶל־יְהוָה כִּי הוּא־יוֹצִיא מֵרֶשֶׁת רַגְלָי׃
פְּנֵה־אֵלַי וְחָנֵּנִי כִּי־יָחִיד וְעָנִי אָנִי׃
צָרוֹת לְבָבִי הִרְחִיבוּ מִמְּצוּקוֹתַי הוֹצִיאֵנִי׃
רְאֵה עָנְיִי וַעֲמָלִי וְשָׂא לְכָל־חַטֹּאותָי׃
רְאֵה־אוֹיְבַי כִּי־רָבּוּ וְשִׂנְאַת חָמָס שְׂנֵאוּנִי׃
שָׁמְרָה נַפְשִׁי וְהַצִּילֵנִי אַל־אֵבוֹשׁ כִּי־חָסִיתִי בָךְ׃
תֹּם־וָיֹשֶׁר יִצְּרוּנִי כִּי קִוִּיתִיךָ׃
פְּדֵה אֱלֹהִים אֶת־יִשְׂרָאֵל מִכֹּל צָרוֹתָיו׃</t>
        </is>
      </c>
      <c r="F29" s="10" t="inlineStr"/>
      <c r="G29" s="14" t="inlineStr">
        <is>
          <t>Psalms 25</t>
        </is>
      </c>
      <c r="H29" s="12" t="inlineStr">
        <is>
          <t>Tanach with Nikkud — Public Domain</t>
        </is>
      </c>
      <c r="I29" s="12" t="inlineStr">
        <is>
          <t>sefaria-psalms-25</t>
        </is>
      </c>
    </row>
    <row r="30" ht="233" customHeight="1">
      <c r="A30" s="7">
        <f>IF(LEN(TRIM(F30))=0,"Approved","Comment to address")</f>
        <v/>
      </c>
      <c r="B30" s="8" t="inlineStr">
        <is>
          <t>Psalm 26</t>
        </is>
      </c>
      <c r="C30" s="8" t="inlineStr">
        <is>
          <t>study</t>
        </is>
      </c>
      <c r="D30" s="8" t="inlineStr">
        <is>
          <t>Scriptural</t>
        </is>
      </c>
      <c r="E30" s="9" t="inlineStr">
        <is>
          <t>לְדָוִד שָׁפְטֵנִי יְהוָה כִּי־אֲנִי בְּתֻמִּי הָלַכְתִּי וּבַיהוָה בָּטַחְתִּי לֹא אֶמְעָד׃
בְּחָנֵנִי יְהוָה וְנַסֵּנִי צרופה [צָרְפָה] כִלְיוֹתַי וְלִבִּי׃
כִּי־חַסְדְּךָ לְנֶגֶד עֵינָי וְהִתְהַלַּכְתִּי בַּאֲמִתֶּךָ׃
לֹא־יָשַׁבְתִּי עִם־מְתֵי־שָׁוְא וְעִם נַעֲלָמִים לֹא אָבוֹא׃
שָׂנֵאתִי קְהַל מְרֵעִים וְעִם־רְשָׁעִים לֹא אֵשֵׁב׃
אֶרְחַץ בְּנִקָּיוֹן כַּפָּי וַאֲסֹבְבָה אֶת־מִזְבַּחֲךָ יְהוָה׃
לַשְׁמִעַ בְּקוֹל תּוֹדָה וּלְסַפֵּר כָּל־נִפְלְאוֹתֶיךָ׃
יְהוָה אָהַבְתִּי מְעוֹן בֵּיתֶךָ וּמְקוֹם מִשְׁכַּן כְּבוֹדֶךָ׃
אַל־תֶּאֱסֹף עִם־חַטָּאִים נַפְשִׁי וְעִם־אַנְשֵׁי דָמִים חַיָּי׃
אֲשֶׁר־בִּידֵיהֶם זִמָּה וִימִינָם מָלְאָה שֹּׁחַד׃
וַאֲנִי בְּתֻמִּי אֵלֵךְ פְּדֵנִי וְחָנֵּנִי׃
רַגְלִי עָמְדָה בְמִישׁוֹר בְּמַקְהֵלִים אֲבָרֵךְ יְהוָה׃</t>
        </is>
      </c>
      <c r="F30" s="10" t="inlineStr"/>
      <c r="G30" s="11" t="inlineStr">
        <is>
          <t>Psalms 26</t>
        </is>
      </c>
      <c r="H30" s="8" t="inlineStr">
        <is>
          <t>Tanach with Nikkud — Public Domain</t>
        </is>
      </c>
      <c r="I30" s="8" t="inlineStr">
        <is>
          <t>sefaria-psalms-26</t>
        </is>
      </c>
    </row>
    <row r="31" ht="369" customHeight="1">
      <c r="A31" s="7">
        <f>IF(LEN(TRIM(F31))=0,"Approved","Comment to address")</f>
        <v/>
      </c>
      <c r="B31" s="12" t="inlineStr">
        <is>
          <t>Psalm 27</t>
        </is>
      </c>
      <c r="C31" s="12" t="inlineStr">
        <is>
          <t>health</t>
        </is>
      </c>
      <c r="D31" s="12" t="inlineStr">
        <is>
          <t>Scriptural</t>
        </is>
      </c>
      <c r="E31" s="13" t="inlineStr">
        <is>
          <t>לְדָוִד יְהוָה אוֹרִי וְיִשְׁעִי מִמִּי אִירָא יְהוָה מָעוֹז־חַיַּי מִמִּי אֶפְחָד׃
בִּקְרֹב עָלַי מְרֵעִים לֶאֱכֹל אֶת־בְּשָׂרִי צָרַי וְאֹיְבַי לִי הֵמָּה כָשְׁלוּ וְנָפָלוּ׃
אִם־תַּחֲנֶה עָלַי מַחֲנֶה לֹא־יִירָא לִבִּי אִם־תָּקוּם עָלַי מִלְחָמָה בְּזֹאת אֲנִי בוֹטֵחַ׃
אַחַת שָׁאַלְתִּי מֵאֵת־יְהוָה אוֹתָהּ אֲבַקֵּשׁ שִׁבְתִּי בְּבֵית־יְהוָה כָּל־יְמֵי חַיַּי לַחֲזוֹת בְּנֹעַם־יְהוָה וּלְבַקֵּר בְּהֵיכָלוֹ׃
כִּי יִצְפְּנֵנִי בְּסֻכֹּה בְּיוֹם רָעָה יַסְתִּרֵנִי בְּסֵתֶר אָהֳלוֹ בְּצוּר יְרוֹמְמֵנִי׃
וְעַתָּה יָרוּם רֹאשִׁי עַל אֹיְבַי סְבִיבוֹתַי וְאֶזְבְּחָה בְאָהֳלוֹ זִבְחֵי תְרוּעָה אָשִׁירָה וַאֲזַמְּרָה לַיהוָה׃
שְׁמַע־יְהוָה קוֹלִי אֶקְרָא וְחָנֵּנִי וַעֲנֵנִי׃
לְךָ אָמַר לִבִּי בַּקְּשׁוּ פָנָי אֶת־פָּנֶיךָ יְהוָה אֲבַקֵּשׁ׃
אַל־תַּסְתֵּר פָּנֶיךָ מִמֶּנִּי אַל־תַּט־בְּאַף עַבְדֶּךָ עֶזְרָתִי הָיִיתָ אַל־תִּטְּשֵׁנִי וְאַל־תַּעַזְבֵנִי אֱלֹהֵי יִשְׁעִי׃
כִּי־אָבִי וְאִמִּי עֲזָבוּנִי וַיהוָה יַאַסְפֵנִי׃
הוֹרֵנִי יְהוָה דַּרְכֶּךָ וּנְחֵנִי בְּאֹרַח מִישׁוֹר לְמַעַן שׁוֹרְרָי׃
אַל־תִּתְּנֵנִי בְּנֶפֶשׁ צָרָי כִּי קָמוּ־בִי עֵדֵי־שֶׁקֶר וִיפֵחַ חָמָס׃
לוּלֵא הֶאֱמַנְתִּי לִרְאוֹת בְּטוּב־יְהוָה בְּאֶרֶץ חַיִּים׃
קַוֵּה אֶל־יְהוָה חֲזַק וְיַאֲמֵץ לִבֶּךָ וְקַוֵּה אֶל־יְהוָה׃</t>
        </is>
      </c>
      <c r="F31" s="10" t="inlineStr"/>
      <c r="G31" s="14" t="inlineStr">
        <is>
          <t>Psalms 27</t>
        </is>
      </c>
      <c r="H31" s="12" t="inlineStr">
        <is>
          <t>Tanach with Nikkud — Public Domain</t>
        </is>
      </c>
      <c r="I31" s="12" t="inlineStr">
        <is>
          <t>sefaria-psalms-27</t>
        </is>
      </c>
    </row>
    <row r="32" ht="267" customHeight="1">
      <c r="A32" s="7">
        <f>IF(LEN(TRIM(F32))=0,"Approved","Comment to address")</f>
        <v/>
      </c>
      <c r="B32" s="8" t="inlineStr">
        <is>
          <t>Psalm 28</t>
        </is>
      </c>
      <c r="C32" s="8" t="inlineStr">
        <is>
          <t>protection</t>
        </is>
      </c>
      <c r="D32" s="8" t="inlineStr">
        <is>
          <t>Scriptural</t>
        </is>
      </c>
      <c r="E32" s="9" t="inlineStr">
        <is>
          <t>לְדָוִד אֵלֶיךָ יְהוָה אֶקְרָא צוּרִי אַל־תֶּחֱרַשׁ מִמֶּנִּי פֶּן־תֶּחֱשֶׁה מִמֶּנִּי וְנִמְשַׁלְתִּי עִם־יוֹרְדֵי בוֹר׃
שְׁמַע קוֹל תַּחֲנוּנַי בְּשַׁוְּעִי אֵלֶיךָ בְּנָשְׂאִי יָדַי אֶל־דְּבִיר קָדְשֶׁךָ׃
אַל־תִּמְשְׁכֵנִי עִם־רְשָׁעִים וְעִם־פֹּעֲלֵי אָוֶן דֹּבְרֵי שָׁלוֹם עִם־רֵעֵיהֶם וְרָעָה בִּלְבָבָם׃
תֶּן־לָהֶם כְּפָעֳלָם וּכְרֹעַ מַעַלְלֵיהֶם כְּמַעֲשֵׂה יְדֵיהֶם תֵּן לָהֶם הָשֵׁב גְּמוּלָם לָהֶם׃
כִּי לֹא יָבִינוּ אֶל־פְּעֻלֹּת יְהוָה וְאֶל־מַעֲשֵׂה יָדָיו יֶהֶרְסֵם וְלֹא יִבְנֵם׃
בָּרוּךְ יְהוָה כִּי־שָׁמַע קוֹל תַּחֲנוּנָי׃
יְהוָה עֻזִּי וּמָגִנִּי בּוֹ בָטַח לִבִּי וְנֶעֱזָרְתִּי וַיַּעֲלֹז לִבִּי וּמִשִּׁירִי אֲהוֹדֶנּוּ׃
יְהוָה עֹז־לָמוֹ וּמָעוֹז יְשׁוּעוֹת מְשִׁיחוֹ הוּא׃
הוֹשִׁיעָה אֶת־עַמֶּךָ וּבָרֵךְ אֶת־נַחֲלָתֶךָ וּרְעֵם וְנַשְּׂאֵם עַד־הָעוֹלָם׃</t>
        </is>
      </c>
      <c r="F32" s="10" t="inlineStr"/>
      <c r="G32" s="11" t="inlineStr">
        <is>
          <t>Psalms 28</t>
        </is>
      </c>
      <c r="H32" s="8" t="inlineStr">
        <is>
          <t>Tanach with Nikkud — Public Domain</t>
        </is>
      </c>
      <c r="I32" s="8" t="inlineStr">
        <is>
          <t>sefaria-psalms-28</t>
        </is>
      </c>
    </row>
    <row r="33" ht="216" customHeight="1">
      <c r="A33" s="7">
        <f>IF(LEN(TRIM(F33))=0,"Approved","Comment to address")</f>
        <v/>
      </c>
      <c r="B33" s="12" t="inlineStr">
        <is>
          <t>Psalm 29</t>
        </is>
      </c>
      <c r="C33" s="12" t="inlineStr">
        <is>
          <t>safety</t>
        </is>
      </c>
      <c r="D33" s="12" t="inlineStr">
        <is>
          <t>Scriptural</t>
        </is>
      </c>
      <c r="E33" s="13" t="inlineStr">
        <is>
          <t>מִזְמוֹר לְדָוִד הָבוּ לַיהוָה בְּנֵי אֵלִים הָבוּ לַיהוָה כָּבוֹד וָעֹז׃
הָבוּ לַיהוָה כְּבוֹד שְׁמוֹ הִשְׁתַּחֲווּ לַיהוָה בְּהַדְרַת־קֹדֶשׁ׃
קוֹל יְהוָה עַל־הַמָּיִם אֵל־הַכָּבוֹד הִרְעִים יְהוָה עַל־מַיִם רַבִּים׃
קוֹל־יְהוָה בַּכֹּחַ קוֹל יְהוָה בֶּהָדָר׃
קוֹל יְהוָה שֹׁבֵר אֲרָזִים וַיְשַׁבֵּר יְהוָה אֶת־אַרְזֵי הַלְּבָנוֹן׃
וַיַּרְקִידֵם כְּמוֹ־עֵגֶל לְבָנוֹן וְשִׂרְיֹן כְּמוֹ בֶן־רְאֵמִים׃
קוֹל־יְהוָה חֹצֵב לַהֲבוֹת אֵשׁ׃
קוֹל יְהוָה יָחִיל מִדְבָּר יָחִיל יְהוָה מִדְבַּר קָדֵשׁ׃
קוֹל יְהוָה יְחוֹלֵל אַיָּלוֹת וַיֶּחֱשֹׂף יְעָרוֹת וּבְהֵיכָלוֹ כֻּלּוֹ אֹמֵר כָּבוֹד׃
יְהוָה לַמַּבּוּל יָשָׁב וַיֵּשֶׁב יְהוָה מֶלֶךְ לְעוֹלָם׃
יְהוָה עֹז לְעַמּוֹ יִתֵּן יְהוָה יְבָרֵךְ אֶת־עַמּוֹ בַשָּׁלוֹם׃</t>
        </is>
      </c>
      <c r="F33" s="10" t="inlineStr"/>
      <c r="G33" s="14" t="inlineStr">
        <is>
          <t>Psalms 29</t>
        </is>
      </c>
      <c r="H33" s="12" t="inlineStr">
        <is>
          <t>Tanach with Nikkud — Public Domain</t>
        </is>
      </c>
      <c r="I33" s="12" t="inlineStr">
        <is>
          <t>sefaria-psalms-29</t>
        </is>
      </c>
    </row>
    <row r="34" ht="267" customHeight="1">
      <c r="A34" s="7">
        <f>IF(LEN(TRIM(F34))=0,"Approved","Comment to address")</f>
        <v/>
      </c>
      <c r="B34" s="8" t="inlineStr">
        <is>
          <t>Psalm 30</t>
        </is>
      </c>
      <c r="C34" s="8" t="inlineStr">
        <is>
          <t>health</t>
        </is>
      </c>
      <c r="D34" s="8" t="inlineStr">
        <is>
          <t>Scriptural</t>
        </is>
      </c>
      <c r="E34" s="9" t="inlineStr">
        <is>
          <t>מִזְמוֹר שִׁיר־חֲנֻכַּת הַבַּיִת לְדָוִד׃
אֲרוֹמִמְךָ יְהוָה כִּי דִלִּיתָנִי וְלֹא־שִׂמַּחְתָּ אֹיְבַי לִי׃
יְהוָה אֱלֹהָי שִׁוַּעְתִּי אֵלֶיךָ וַתִּרְפָּאֵנִי׃
יְהוָה הֶעֱלִיתָ מִן־שְׁאוֹל נַפְשִׁי חִיִּיתַנִי מיורדי־[מִיָּרְדִי־] בוֹר׃
זַמְּרוּ לַיהוָה חֲסִידָיו וְהוֹדוּ לְזֵכֶר קָדְשׁוֹ׃
כִּי רֶגַע בְּאַפּוֹ חַיִּים בִּרְצוֹנוֹ בָּעֶרֶב יָלִין בֶּכִי וְלַבֹּקֶר רִנָּה׃
וַאֲנִי אָמַרְתִּי בְשַׁלְוִי בַּל־אֶמּוֹט לְעוֹלָם׃
יְהוָה בִּרְצוֹנְךָ הֶעֱמַדְתָּה לְהַרְרִי עֹז הִסְתַּרְתָּ פָנֶיךָ הָיִיתִי נִבְהָל׃
אֵלֶיךָ יְהוָה אֶקְרָא וְאֶל־אֲדֹנָי אֶתְחַנָּן׃
מַה־בֶּצַע בְּדָמִי בְּרִדְתִּי אֶל־שָׁחַת הֲיוֹדְךָ עָפָר הֲיַגִּיד אֲמִתֶּךָ׃
שְׁמַע־יְהוָה וְחָנֵּנִי יְהוָה הֱ‍יֵה־עֹזֵר לִי׃
הָפַכְתָּ מִסְפְּדִי לְמָחוֹל לִי פִּתַּחְתָּ שַׂקִּי וַתְּאַזְּרֵנִי שִׂמְחָה׃
לְמַעַן יְזַמֶּרְךָ כָבוֹד וְלֹא יִדֹּם יְהוָה אֱלֹהַי לְעוֹלָם אוֹדֶךָּ׃</t>
        </is>
      </c>
      <c r="F34" s="10" t="inlineStr"/>
      <c r="G34" s="11" t="inlineStr">
        <is>
          <t>Psalms 30</t>
        </is>
      </c>
      <c r="H34" s="8" t="inlineStr">
        <is>
          <t>Tanach with Nikkud — Public Domain</t>
        </is>
      </c>
      <c r="I34" s="8" t="inlineStr">
        <is>
          <t>sefaria-psalms-30</t>
        </is>
      </c>
    </row>
    <row r="35" ht="409" customHeight="1">
      <c r="A35" s="7">
        <f>IF(LEN(TRIM(F35))=0,"Approved","Comment to address")</f>
        <v/>
      </c>
      <c r="B35" s="12" t="inlineStr">
        <is>
          <t>Psalm 31</t>
        </is>
      </c>
      <c r="C35" s="12" t="inlineStr">
        <is>
          <t>protection</t>
        </is>
      </c>
      <c r="D35" s="12" t="inlineStr">
        <is>
          <t>Scriptural</t>
        </is>
      </c>
      <c r="E35" s="13" t="inlineStr">
        <is>
          <t>לַמְנַצֵּחַ מִזְמוֹר לְדָוִד׃
בְּךָ יְהוָה חָסִיתִי אַל־אֵבוֹשָׁה לְעוֹלָם בְּצִדְקָתְךָ פַלְּטֵנִי׃
הַטֵּה אֵלַי אָזְנְךָ מְהֵרָה הַצִּילֵנִי הֱיֵה לִי לְצוּר־מָעוֹז לְבֵית מְצוּדוֹת לְהוֹשִׁיעֵנִי׃
כִּי־סַלְעִי וּמְצוּדָתִי אָתָּה וּלְמַעַן שִׁמְךָ תַּנְחֵנִי וּתְנַהֲלֵנִי׃
תּוֹצִיאֵנִי מֵרֶשֶׁת זוּ טָמְנוּ לִי כִּי־אַתָּה מָעוּזִּי׃
בְּיָדְךָ אַפְקִיד רוּחִי פָּדִיתָה אוֹתִי יְהוָה אֵל אֱמֶת׃
שָׂנֵאתִי הַשֹּׁמְרִים הַבְלֵי־שָׁוְא וַאֲנִי אֶל־יְהוָה בָּטָחְתִּי׃
אָגִילָה וְאֶשְׂמְחָה בְּחַסְדֶּךָ אֲשֶׁר רָאִיתָ אֶת־עָנְיִי יָדַעְתָּ בְּצָרוֹת נַפְשִׁי׃
וְלֹא הִסְגַּרְתַּנִי בְּיַד־אוֹיֵב הֶעֱמַדְתָּ בַמֶּרְחָב רַגְלָי׃
חָנֵּנִי יְהוָה כִּי צַר־לִי עָשְׁשָׁה בְכַעַס עֵינִי נַפְשִׁי וּבִטְנִי׃
כִּי כָלוּ בְיָגוֹן חַיַּי וּשְׁנוֹתַי בַּאֲנָחָה כָּשַׁל בַּעֲוֺנִי כֹחִי וַעֲצָמַי עָשֵׁשׁוּ׃
מִכָּל־צֹרְרַי הָיִיתִי חֶרְפָּה וְלִשֲׁכֵנַי מְאֹד וּפַחַד לִמְיֻדָּעָי רֹאַי בַּחוּץ נָדְדוּ מִמֶּנִּי׃
נִשְׁכַּחְתִּי כְּמֵת מִלֵּב הָיִיתִי כִּכְלִי אֹבֵד׃
כִּי שָׁמַעְתִּי דִּבַּת רַבִּים מָגוֹר מִסָּבִיב בְּהִוָּסְדָם יַחַד עָלַי לָקַחַת נַפְשִׁי זָמָמוּ׃
וַאֲנִי עָלֶיךָ בָטַחְתִּי יְהוָה אָמַרְתִּי אֱלֹהַי אָתָּה׃
בְּיָדְךָ עִתֹּתָי הַצִּילֵנִי מִיַּד־אוֹיְבַי וּמֵרֹדְפָי׃
הָאִירָה פָנֶיךָ עַל־עַבְדֶּךָ הוֹשִׁיעֵנִי בְחַסְדֶּךָ׃
יְהוָה אַל־אֵבוֹשָׁה כִּי קְרָאתִיךָ יֵבֹשׁוּ רְשָׁעִים יִדְּמוּ לִשְׁאוֹל׃
תֵּאָלַמְנָה שִׂפְתֵי שָׁקֶר הַדֹּבְרוֹת עַל־צַדִּיק עָתָק בְּגַאֲוָה וָבוּז׃
מָה רַב־טוּבְךָ אֲשֶׁר־צָפַנְתָּ לִּירֵאֶיךָ פָּעַלְתָּ לַחֹסִים בָּךְ נֶגֶד בְּנֵי אָדָם׃
תַּסְתִּירֵם בְּסֵתֶר פָּנֶיךָ מֵרֻכְסֵי אִישׁ תִּצְפְּנֵם בְּסֻכָּה מֵרִיב לְשֹׁנוֹת׃
בָּרוּךְ יְהוָה כִּי הִפְלִיא חַסְדּוֹ לִי בְּעִיר מָצוֹר׃
וַאֲנִי אָמַרְתִּי בְחָפְזִי נִגְרַזְתִּי מִנֶּגֶד עֵינֶיךָ אָכֵן שָׁמַעְתָּ קוֹל תַּחֲנוּנַי בְּשַׁוְּעִי אֵלֶיךָ׃
אֶהֱבוּ אֶת־יְהוָה כָּל־חֲסִידָיו אֱמוּנִים נֹצֵר יְהוָה וּמְשַׁלֵּם עַל־יֶתֶר עֹשֵׂה גַאֲוָה׃
חִזְקוּ וְיַאֲמֵץ לְבַבְכֶם כָּל־הַמְיַחֲלִים לַיהוָה׃</t>
        </is>
      </c>
      <c r="F35" s="10" t="inlineStr"/>
      <c r="G35" s="14" t="inlineStr">
        <is>
          <t>Psalms 31</t>
        </is>
      </c>
      <c r="H35" s="12" t="inlineStr">
        <is>
          <t>Tanach with Nikkud — Public Domain</t>
        </is>
      </c>
      <c r="I35" s="12" t="inlineStr">
        <is>
          <t>sefaria-psalms-31</t>
        </is>
      </c>
    </row>
    <row r="36" ht="267" customHeight="1">
      <c r="A36" s="7">
        <f>IF(LEN(TRIM(F36))=0,"Approved","Comment to address")</f>
        <v/>
      </c>
      <c r="B36" s="8" t="inlineStr">
        <is>
          <t>Psalm 32</t>
        </is>
      </c>
      <c r="C36" s="8" t="inlineStr">
        <is>
          <t>repentance</t>
        </is>
      </c>
      <c r="D36" s="8" t="inlineStr">
        <is>
          <t>Scriptural</t>
        </is>
      </c>
      <c r="E36" s="9" t="inlineStr">
        <is>
          <t>לְדָוִד מַשְׂכִּיל אַשְׁרֵי נְשׂוּי־פֶּשַׁע כְּסוּי חֲטָאָה׃
אַשְׁרֵי אָדָם לֹא יַחְשֹׁב יְהוָה לוֹ עָוֺן וְאֵין בְּרוּחוֹ רְמִיָּה׃
כִּי־הֶחֱרַשְׁתִּי בָּלוּ עֲצָמָי בְּשַׁאֲגָתִי כָּל־הַיּוֹם׃
כִּי יוֹמָם וָלַיְלָה תִּכְבַּד עָלַי יָדֶךָ נֶהְפַּךְ לְשַׁדִּי בְּחַרְבֹנֵי קַיִץ סֶלָה׃
חַטָּאתִי אוֹדִיעֲךָ וַעֲוֺנִי לֹא־כִסִּיתִי אָמַרְתִּי אוֹדֶה עֲלֵי פְשָׁעַי לַיהוָה וְאַתָּה נָשָׂאתָ עֲוֺן חַטָּאתִי סֶלָה׃
עַל־זֹאת יִתְפַּלֵּל כָּל־חָסִיד אֵלֶיךָ לְעֵת מְצֹא רַק לְשֵׁטֶף מַיִם רַבִּים אֵלָיו לֹא יַגִּיעוּ׃
אַתָּה סֵתֶר לִי מִצַּר תִּצְּרֵנִי רָנֵּי פַלֵּט תְּסוֹבְבֵנִי סֶלָה׃
אַשְׂכִּילְךָ וְאוֹרְךָ בְּדֶרֶךְ־זוּ תֵלֵךְ אִיעֲצָה עָלֶיךָ עֵינִי׃
אַל־תִּהְיוּ כְּסוּס כְּפֶרֶד אֵין הָבִין בְּמֶתֶג־וָרֶסֶן עֶדְיוֹ לִבְלוֹם בַּל קְרֹב אֵלֶיךָ׃
רַבִּים מַכְאוֹבִים לָרָשָׁע וְהַבּוֹטֵחַ בַּיהוָה חֶסֶד יְסוֹבְבֶנּוּ׃
שִׂמְחוּ בַיהוָה וְגִילוּ צַדִּיקִים וְהַרְנִינוּ כָּל־יִשְׁרֵי־לֵב׃</t>
        </is>
      </c>
      <c r="F36" s="10" t="inlineStr"/>
      <c r="G36" s="11" t="inlineStr">
        <is>
          <t>Psalms 32</t>
        </is>
      </c>
      <c r="H36" s="8" t="inlineStr">
        <is>
          <t>Tanach with Nikkud — Public Domain</t>
        </is>
      </c>
      <c r="I36" s="8" t="inlineStr">
        <is>
          <t>sefaria-psalms-32</t>
        </is>
      </c>
    </row>
    <row r="37" ht="386" customHeight="1">
      <c r="A37" s="7">
        <f>IF(LEN(TRIM(F37))=0,"Approved","Comment to address")</f>
        <v/>
      </c>
      <c r="B37" s="12" t="inlineStr">
        <is>
          <t>Psalm 33</t>
        </is>
      </c>
      <c r="C37" s="12" t="inlineStr">
        <is>
          <t>health</t>
        </is>
      </c>
      <c r="D37" s="12" t="inlineStr">
        <is>
          <t>Scriptural</t>
        </is>
      </c>
      <c r="E37" s="13" t="inlineStr">
        <is>
          <t>רַנְּנוּ צַדִּיקִים בַּיהוָה לַיְשָׁרִים נָאוָה תְהִלָּה׃
הוֹדוּ לַיהוָה בְּכִנּוֹר בְּנֵבֶל עָשׂוֹר זַמְּרוּ־לוֹ׃
שִׁירוּ־לוֹ שִׁיר חָדָשׁ הֵיטִיבוּ נַגֵּן בִּתְרוּעָה׃
כִּי־יָשָׁר דְּבַר־יְהוָה וְכָל־מַעֲשֵׂהוּ בֶּאֱמוּנָה׃
אֹהֵב צְדָקָה וּמִשְׁפָּט חֶסֶד יְהוָה מָלְאָה הָאָרֶץ׃
בִּדְבַר יְהוָה שָׁמַיִם נַעֲשׂוּ וּבְרוּחַ פִּיו כָּל־צְבָאָם׃
כֹּנֵס כַּנֵּד מֵי הַיָּם נֹתֵן בְּאֹצָרוֹת תְּהוֹמוֹת׃
יִירְאוּ מֵיְהוָה כָּל־הָאָרֶץ מִמֶּנּוּ יָגוּרוּ כָּל־יֹשְׁבֵי תֵבֵל׃
כִּי הוּא אָמַר וַיֶּהִי הוּא־צִוָּה וַיַּעֲמֹד׃
יְהוָה הֵפִיר עֲצַת־גּוֹיִם הֵנִיא מַחְשְׁבוֹת עַמִּים׃
עֲצַת יְהוָה לְעוֹלָם תַּעֲמֹד מַחְשְׁבוֹת לִבּוֹ לְדֹר וָדֹר׃
אַשְׁרֵי הַגּוֹי אֲשֶׁר־יְהוָה אֱלֹהָיו הָעָם בָּחַר לְנַחֲלָה לוֹ׃
מִשָּׁמַיִם הִבִּיט יְהוָה רָאָה אֶת־כָּל־בְּנֵי הָאָדָם׃
מִמְּכוֹן־שִׁבְתּוֹ הִשְׁגִּיחַ אֶל כָּל־יֹשְׁבֵי הָאָרֶץ׃
הַיֹּצֵר יַחַד לִבָּם הַמֵּבִין אֶל־כָּל־מַעֲשֵׂיהֶם׃
אֵין־הַמֶּלֶךְ נוֹשָׁע בְּרָב־חָיִל גִּבּוֹר לֹא־יִנָּצֵל בְּרָב־כֹּחַ׃
שֶׁקֶר הַסּוּס לִתְשׁוּעָה וּבְרֹב חֵילוֹ לֹא יְמַלֵּט׃
הִנֵּה עֵין יְהוָה אֶל־יְרֵאָיו לַמְיַחֲלִים לְחַסְדּוֹ׃
לְהַצִּיל מִמָּוֶת נַפְשָׁם וּלְחַיּוֹתָם בָּרָעָב׃
נַפְשֵׁנוּ חִכְּתָה לַיהוָה עֶזְרֵנוּ וּמָגִנֵּנוּ הוּא׃
כִּי־בוֹ יִשְׂמַח לִבֵּנוּ כִּי בְשֵׁם קָדְשׁוֹ בָטָחְנוּ׃
יְהִי־חַסְדְּךָ יְהוָה עָלֵינוּ כַּאֲשֶׁר יִחַלְנוּ לָךְ׃</t>
        </is>
      </c>
      <c r="F37" s="10" t="inlineStr"/>
      <c r="G37" s="14" t="inlineStr">
        <is>
          <t>Psalms 33</t>
        </is>
      </c>
      <c r="H37" s="12" t="inlineStr">
        <is>
          <t>Tanach with Nikkud — Public Domain</t>
        </is>
      </c>
      <c r="I37" s="12" t="inlineStr">
        <is>
          <t>sefaria-psalms-33</t>
        </is>
      </c>
    </row>
    <row r="38" ht="403" customHeight="1">
      <c r="A38" s="7">
        <f>IF(LEN(TRIM(F38))=0,"Approved","Comment to address")</f>
        <v/>
      </c>
      <c r="B38" s="8" t="inlineStr">
        <is>
          <t>Psalm 34</t>
        </is>
      </c>
      <c r="C38" s="8" t="inlineStr">
        <is>
          <t>health</t>
        </is>
      </c>
      <c r="D38" s="8" t="inlineStr">
        <is>
          <t>Scriptural</t>
        </is>
      </c>
      <c r="E38" s="9" t="inlineStr">
        <is>
          <t>לְדָוִד בְּשַׁנּוֹתוֹ אֶת־טַעְמוֹ לִפְנֵי אֲבִימֶלֶךְ וַיְגָרֲשֵׁהוּ וַיֵּלַךְ׃
אֲבָרֲכָה אֶת־יְהוָה בְּכָל־עֵת תָּמִיד תְּהִלָּתוֹ בְּפִי׃
בַּיהוָה תִּתְהַלֵּל נַפְשִׁי יִשְׁמְעוּ עֲנָוִים וְיִשְׂמָחוּ׃
גַּדְּלוּ לַיהוָה אִתִּי וּנְרוֹמְמָה שְׁמוֹ יַחְדָּו׃
דָּרַשְׁתִּי אֶת־יְהוָה וְעָנָנִי וּמִכָּל־מְגוּרוֹתַי הִצִּילָנִי׃
הִבִּיטוּ אֵלָיו וְנָהָרוּ וּפְנֵיהֶם אַל־יֶחְפָּרוּ׃
זֶה עָנִי קָרָא וַיהוָה שָׁמֵעַ וּמִכָּל־צָרוֹתָיו הוֹשִׁיעוֹ׃
חֹנֶה מַלְאַךְ־יְהוָה סָבִיב לִירֵאָיו וַיְחַלְּצֵם׃
טַעֲמוּ וּרְאוּ כִּי־טוֹב יְהוָה אַשְׁרֵי הַגֶּבֶר יֶחֱסֶה־בּוֹ׃
יְראוּ אֶת־יְהוָה קְדֹשָׁיו כִּי־אֵין מַחְסוֹר לִירֵאָיו׃
כְּפִירִים רָשׁוּ וְרָעֵבוּ וְדֹרְשֵׁי יְהוָה לֹא־יַחְסְרוּ כָל־טוֹב׃
לְכוּ־בָנִים שִׁמְעוּ־לִי יִרְאַת יְהוָה אֲלַמֶּדְכֶם׃
מִי־הָאִישׁ הֶחָפֵץ חַיִּים אֹהֵב יָמִים לִרְאוֹת טוֹב׃
נְצֹר לְשׁוֹנְךָ מֵרָע וּשְׂפָתֶיךָ מִדַּבֵּר מִרְמָה׃
סוּר מֵרָע וַעֲשֵׂה־טוֹב בַּקֵּשׁ שָׁלוֹם וְרָדְפֵהוּ׃
עֵינֵי יְהוָה אֶל־צַדִּיקִים וְאָזְנָיו אֶל־שַׁוְעָתָם׃
פְּנֵי יְהוָה בְּעֹשֵׂי רָע לְהַכְרִית מֵאֶרֶץ זִכְרָם׃
צָעֲקוּ וַיהוָה שָׁמֵעַ וּמִכָּל־צָרוֹתָם הִצִּילָם׃
קָרוֹב יְהוָה לְנִשְׁבְּרֵי־לֵב וְאֶת־דַּכְּאֵי־רוּחַ יוֹשִׁיעַ׃
רַבּוֹת רָעוֹת צַדִּיק וּמִכֻּלָּם יַצִּילֶנּוּ יְהוָה׃
שֹׁמֵר כָּל־עַצְמוֹתָיו אַחַת מֵהֵנָּה לֹא נִשְׁבָּרָה׃
תְּמוֹתֵת רָשָׁע רָעָה וְשֹׂנְאֵי צַדִּיק יֶאְשָׁמוּ׃
פּוֹדֶה יְהוָה נֶפֶשׁ עֲבָדָיו וְלֹא יֶאְשְׁמוּ כָּל־הַחֹסִים בּוֹ׃</t>
        </is>
      </c>
      <c r="F38" s="10" t="inlineStr"/>
      <c r="G38" s="11" t="inlineStr">
        <is>
          <t>Psalms 34</t>
        </is>
      </c>
      <c r="H38" s="8" t="inlineStr">
        <is>
          <t>Tanach with Nikkud — Public Domain</t>
        </is>
      </c>
      <c r="I38" s="8" t="inlineStr">
        <is>
          <t>sefaria-psalms-34</t>
        </is>
      </c>
    </row>
    <row r="39" ht="409" customHeight="1">
      <c r="A39" s="7">
        <f>IF(LEN(TRIM(F39))=0,"Approved","Comment to address")</f>
        <v/>
      </c>
      <c r="B39" s="12" t="inlineStr">
        <is>
          <t>Psalm 35</t>
        </is>
      </c>
      <c r="C39" s="12" t="inlineStr">
        <is>
          <t>protection</t>
        </is>
      </c>
      <c r="D39" s="12" t="inlineStr">
        <is>
          <t>Scriptural</t>
        </is>
      </c>
      <c r="E39" s="13" t="inlineStr">
        <is>
          <t>לְדָוִד רִיבָה יְהוָה אֶת־יְרִיבַי לְחַם אֶת־לֹחֲמָי׃
הַחֲזֵק מָגֵן וְצִנָּה וְקוּמָה בְּעֶזְרָתִי׃
וְהָרֵק חֲנִית וּסְגֹר לִקְרַאת רֹדְפָי אֱמֹר לְנַפְשִׁי יְשֻׁעָתֵךְ אָנִי׃
יֵבֹשׁוּ וְיִכָּלְמוּ מְבַקְשֵׁי נַפְשִׁי יִסֹּגוּ אָחוֹר וְיַחְפְּרוּ חֹשְׁבֵי רָעָתִי׃
יִהְיוּ כְּמֹץ לִפְנֵי־רוּחַ וּמַלְאַךְ יְהוָה דּוֹחֶה׃
יְהִי־דַרְכָּם חֹשֶׁךְ וַחֲלַקְלַקּוֹת וּמַלְאַךְ יְהוָה רֹדְפָם׃
כִּי־חִנָּם טָמְנוּ־לִי שַׁחַת רִשְׁתָּם חִנָּם חָפְרוּ לְנַפְשִׁי׃
תְּבוֹאֵהוּ שׁוֹאָה לֹא־יֵדָע וְרִשְׁתּוֹ אֲשֶׁר־טָמַן תִּלְכְּדוֹ בְּשׁוֹאָה יִפָּל־בָּהּ׃
וְנַפְשִׁי תָּגִיל בַּיהוָה תָּשִׂישׂ בִּישׁוּעָתוֹ׃
כָּל עַצְמוֹתַי תֹּאמַרְנָה יְהוָה מִי כָמוֹךָ מַצִּיל עָנִי מֵחָזָק מִמֶּנּוּ וְעָנִי וְאֶבְיוֹן מִגֹּזְלוֹ׃
יְקוּמוּן עֵדֵי חָמָס אֲשֶׁר לֹא־יָדַעְתִּי יִשְׁאָלוּנִי׃
יְשַׁלְּמוּנִי רָעָה תַּחַת טוֹבָה שְׁכוֹל לְנַפְשִׁי׃
וַאֲנִי בַּחֲלוֹתָם לְבוּשִׁי שָׂק עִנֵּיתִי בַצּוֹם נַפְשִׁי וּתְפִלָּתִי עַל־חֵיקִי תָשׁוּב׃
כְּרֵעַ־כְּאָח לִי הִתְהַלָּכְתִּי כַּאֲבֶל־אֵם קֹדֵר שַׁחוֹתִי׃
וּבְצַלְעִי שָׂמְחוּ וְנֶאֱסָפוּ נֶאֶסְפוּ עָלַי נֵכִים וְלֹא יָדַעְתִּי קָרְעוּ וְלֹא־דָמּוּ׃
בְּחַנְפֵי לַעֲגֵי מָעוֹג חָרֹק עָלַי שִׁנֵּימוֹ׃
אֲדֹנָי כַּמָּה תִּרְאֶה הָשִׁיבָה נַפְשִׁי מִשֹּׁאֵיהֶם מִכְּפִירִים יְחִידָתִי׃
אוֹדְךָ בְּקָהָל רָב בְּעַם עָצוּם אֲהַלְלֶךָּ׃
אַל־יִשְׂמְחוּ־לִי אֹיְבַי שֶׁקֶר שֹׂנְאַי חִנָּם יִקְרְצוּ־עָיִן׃
כִּי לֹא שָׁלוֹם יְדַבֵּרוּ וְעַל רִגְעֵי־אֶרֶץ דִּבְרֵי מִרְמוֹת יַחֲשֹׁבוּן׃
וַיַּרְחִיבוּ עָלַי פִּיהֶם אָמְרוּ הֶאָח הֶאָח רָאֲתָה עֵינֵינוּ׃
רָאִיתָה יְהוָה אַל־תֶּחֱרַשׁ אֲדֹנָי אֲל־תִּרְחַק מִמֶּנִּי׃
הָעִירָה וְהָקִיצָה לְמִשְׁפָּטִי אֱלֹהַי וַאדֹנָי לְרִיבִי׃
שָׁפְטֵנִי כְצִדְקְךָ יְהוָה אֱלֹהָי וְאַל־יִשְׂמְחוּ־לִי׃
אַל־יֹאמְרוּ בְלִבָּם הֶאָח נַפְשֵׁנוּ אַל־יֹאמְרוּ בִּלַּעֲנוּהוּ׃
יֵבֹשׁוּ וְיַחְפְּרוּ יַחְדָּו שְׂמֵחֵי רָעָתִי יִלְבְּשׁוּ־בֹשֶׁת וּכְלִמָּה הַמַּגְדִּילִים עָלָי׃
יָרֹנּוּ וְיִשְׂמְחוּ חֲפֵצֵי צִדְקִי וְיֹאמְרוּ תָמִיד יִגְדַּל יְהוָה הֶחָפֵץ שְׁלוֹם עַבְדּוֹ׃
וּלְשׁוֹנִי תֶּהְגֶּה צִדְקֶךָ כָּל־הַיּוֹם תְּהִלָּתֶךָ׃</t>
        </is>
      </c>
      <c r="F39" s="10" t="inlineStr"/>
      <c r="G39" s="14" t="inlineStr">
        <is>
          <t>Psalms 35</t>
        </is>
      </c>
      <c r="H39" s="12" t="inlineStr">
        <is>
          <t>Tanach with Nikkud — Public Domain</t>
        </is>
      </c>
      <c r="I39" s="12" t="inlineStr">
        <is>
          <t>sefaria-psalms-35</t>
        </is>
      </c>
    </row>
    <row r="40" ht="250" customHeight="1">
      <c r="A40" s="7">
        <f>IF(LEN(TRIM(F40))=0,"Approved","Comment to address")</f>
        <v/>
      </c>
      <c r="B40" s="8" t="inlineStr">
        <is>
          <t>Psalm 36</t>
        </is>
      </c>
      <c r="C40" s="8" t="inlineStr">
        <is>
          <t>source</t>
        </is>
      </c>
      <c r="D40" s="8" t="inlineStr">
        <is>
          <t>Scriptural</t>
        </is>
      </c>
      <c r="E40" s="9" t="inlineStr">
        <is>
          <t>לַמְנַצֵּחַ לְעֶבֶד־יְהוָה לְדָוִד׃
נְאֻם־פֶּשַׁע לָרָשָׁע בְּקֶרֶב לִבִּי אֵין־פַּחַד אֱלֹהִים לְנֶגֶד עֵינָיו׃
כִּי־הֶחֱלִיק אֵלָיו בְּעֵינָיו לִמְצֹא עֲוֺנוֹ לִשְׂנֹא׃
דִּבְרֵי־פִיו אָוֶן וּמִרְמָה חָדַל לְהַשְׂכִּיל לְהֵיטִיב׃
אָוֶן יַחְשֹׁב עַל־מִשְׁכָּבוֹ יִתְיַצֵּב עַל־דֶּרֶךְ לֹא־טוֹב רָע לֹא יִמְאָס׃
יְהוָה בְּהַשָּׁמַיִם חַסְדֶּךָ אֱמוּנָתְךָ עַד־שְׁחָקִים׃
צִדְקָתְךָ כְּהַרְרֵי־אֵל מִשְׁפָּטֶךָ תְּהוֹם רַבָּה אָדָם־וּבְהֵמָה תוֹשִׁיעַ יְהוָה׃
מַה־יָּקָר חַסְדְּךָ אֱלֹהִים וּבְנֵי אָדָם בְּצֵל כְּנָפֶיךָ יֶחֱסָיוּן׃
יִרְוְיֻן מִדֶּשֶׁן בֵּיתֶךָ וְנַחַל עֲדָנֶיךָ תַשְׁקֵם׃
כִּי־עִמְּךָ מְקוֹר חַיִּים בְּאוֹרְךָ נִרְאֶה־אוֹר׃
מְשֹׁךְ חַסְדְּךָ לְיֹדְעֶיךָ וְצִדְקָתְךָ לְיִשְׁרֵי־לֵב׃
אַל־תְּבוֹאֵנִי רֶגֶל גַּאֲוָה וְיַד־רְשָׁעִים אַל־תְּנִדֵנִי׃
שָׁם נָפְלוּ פֹּעֲלֵי אָוֶן דֹּחוּ וְלֹא־יָכְלוּ קוּם׃</t>
        </is>
      </c>
      <c r="F40" s="10" t="inlineStr"/>
      <c r="G40" s="11" t="inlineStr">
        <is>
          <t>Psalms 36</t>
        </is>
      </c>
      <c r="H40" s="8" t="inlineStr">
        <is>
          <t>Tanach with Nikkud — Public Domain</t>
        </is>
      </c>
      <c r="I40" s="8" t="inlineStr">
        <is>
          <t>sefaria-psalms-36</t>
        </is>
      </c>
    </row>
    <row r="41" ht="409" customHeight="1">
      <c r="A41" s="7">
        <f>IF(LEN(TRIM(F41))=0,"Approved","Comment to address")</f>
        <v/>
      </c>
      <c r="B41" s="12" t="inlineStr">
        <is>
          <t>Psalm 37</t>
        </is>
      </c>
      <c r="C41" s="12" t="inlineStr">
        <is>
          <t>health</t>
        </is>
      </c>
      <c r="D41" s="12" t="inlineStr">
        <is>
          <t>Scriptural</t>
        </is>
      </c>
      <c r="E41" s="13" t="inlineStr">
        <is>
          <t>לְדָוִד אַל־תִּתְחַר בַּמְּרֵעִים אַל־תְּקַנֵּא בְּעֹשֵׂי עַוְלָה׃
כִּי כֶחָצִיר מְהֵרָה יִמָּלוּ וּכְיֶרֶק דֶּשֶׁא יִבּוֹלוּן׃
בְּטַח בַּיהוָה וַעֲשֵׂה־טוֹב שְׁכָן־אֶרֶץ וּרְעֵה אֱמוּנָה׃
וְהִתְעַנַּג עַל־יְהוָה וְיִתֶּן־לְךָ מִשְׁאֲלֹת לִבֶּךָ׃
גּוֹל עַל־יְהוָה דַּרְכֶּךָ וּבְטַח עָלָיו וְהוּא יַעֲשֶׂה׃
וְהוֹצִיא כָאוֹר צִדְקֶךָ וּמִשְׁפָּטֶךָ כַּצָּהֳרָיִם׃
דּוֹם לַיהוָה וְהִתְחוֹלֵל לוֹ אַל־תִּתְחַר בְּמַצְלִיחַ דַּרְכּוֹ בְּאִישׁ עֹשֶׂה מְזִמּוֹת׃
הֶרֶף מֵאַף וַעֲזֹב חֵמָה אַל־תִּתְחַר אַךְ־לְהָרֵעַ׃
כִּי־מְרֵעִים יִכָּרֵתוּן וְקֹוֵי יְהוָה הֵמָּה יִירְשׁוּ־אָרֶץ׃
וְעוֹד מְעַט וְאֵין רָשָׁע וְהִתְבּוֹנַנְתָּ עַל־מְקוֹמוֹ וְאֵינֶנּוּ׃
וַעֲנָוִים יִירְשׁוּ־אָרֶץ וְהִתְעַנְּגוּ עַל־רֹב שָׁלוֹם׃
זֹמֵם רָשָׁע לַצַּדִּיק וְחֹרֵק עָלָיו שִׁנָּיו׃
אֲדֹנָי יִשְׂחַק־לוֹ כִּי־רָאָה כִּי־יָבֹא יוֹמוֹ׃
חֶרֶב פָּתְחוּ רְשָׁעִים וְדָרְכוּ קַשְׁתָּם לְהַפִּיל עָנִי וְאֶבְיוֹן לִטְבוֹחַ יִשְׁרֵי־דָרֶךְ׃
חַרְבָּם תָּבוֹא בְלִבָּם וְקַשְּׁתוֹתָם תִּשָּׁבַרְנָה׃
טוֹב־מְעַט לַצַּדִּיק מֵהֲמוֹן רְשָׁעִים רַבִּים׃
כִּי זְרוֹעוֹת רְשָׁעִים תִּשָּׁבַרְנָה וְסוֹמֵךְ צַדִּיקִים יְהוָה׃
יוֹדֵעַ יְהוָה יְמֵי תְמִימִם וְנַחֲלָתָם לְעוֹלָם תִּהְיֶה׃
לֹא־יֵבֹשׁוּ בְּעֵת רָעָה וּבִימֵי רְעָבוֹן יִשְׂבָּעוּ׃
כִּי רְשָׁעִים יֹאבֵדוּ וְאֹיְבֵי יְהוָה כִּיקַר כָּרִים כָּלוּ בֶעָשָׁן כָּלוּ׃
לֹוֶה רָשָׁע וְלֹא יְשַׁלֵּם וְצַדִּיק חוֹנֵן וְנוֹתֵן׃
כִּי מְבֹרָכָיו יִירְשׁוּ אָרֶץ וּמְקֻלָּלָיו יִכָּרֵתוּ׃
מֵיְהוָה מִצְעֲדֵי־גֶבֶר כּוֹנָנוּ וְדַרְכּוֹ יֶחְפָּץ׃
כִּי־יִפֹּל לֹא־יוּטָל כִּי־יְהוָה סוֹמֵךְ יָדוֹ׃
נַעַר הָיִיתִי גַּם־זָקַנְתִּי וְלֹא־רָאִיתִי צַדִּיק נֶעֱזָב וְזַרְעוֹ מְבַקֶּשׁ־לָחֶם׃
כָּל־הַיּוֹם חוֹנֵן וּמַלְוֶה וְזַרְעוֹ לִבְרָכָה׃
סוּר מֵרָע וַעֲשֵׂה־טוֹב וּשְׁכֹן לְעוֹלָם׃
כִּי יְהוָה אֹהֵב מִשְׁפָּט וְלֹא־יַעֲזֹב אֶת־חֲסִידָיו לְעוֹלָם נִשְׁמָרוּ וְזֶרַע רְשָׁעִים נִכְרָת׃
צַדִּיקִים יִירְשׁוּ־אָרֶץ וְיִשְׁכְּנוּ לָעַד עָלֶיהָ׃
פִּי־צַדִּיק יֶהְגֶּה חָכְמָה וּלְשׁוֹנוֹ תְּדַבֵּר מִשְׁפָּט׃
תּוֹרַת אֱלֹהָיו בְּלִבּוֹ לֹא תִמְעַד אֲשֻׁרָיו׃
צוֹפֶה רָשָׁע לַצַּדִּיק וּמְבַקֵּשׁ לַהֲמִיתוֹ׃
יְהוָה לֹא־יַעַזְבֶנּוּ בְיָדוֹ וְלֹא יַרְשִׁיעֶנּוּ בְּהִשָּׁפְטוֹ׃
קַוֵּה אֶל־יְהוָה וּשְׁמֹר דַּרְכּוֹ וִירוֹמִמְךָ לָרֶשֶׁת אָרֶץ בְּהִכָּרֵת רְשָׁעִים תִּרְאֶה׃
רָאִיתִי רָשָׁע עָרִיץ וּמִתְעָרֶה כְּאֶזְרָח רַעֲנָן׃
וַיַּעֲבֹר וְהִנֵּה אֵינֶנּוּ וָאֲבַקְשֵׁהוּ וְלֹא נִמְצָא׃
שְׁמָר־תָּם וּרְאֵה יָשָׁר כִּי־אַחֲרִית לְאִישׁ שָׁלוֹם׃
וּפֹשְׁעִים נִשְׁמְדוּ יַחְדָּו אַחֲרִית רְשָׁעִים נִכְרָתָה׃
וּתְשׁוּעַת צַדִּיקִים מֵיְהוָה מָעוּזָּם בְּעֵת צָרָה׃
וַיַּעְזְרֵם יְהוָה וַיְפַלְּטֵם יְפַלְּטֵם מֵרְשָׁעִים וְיוֹשִׁיעֵם כִּי־חָסוּ בוֹ׃</t>
        </is>
      </c>
      <c r="F41" s="10" t="inlineStr"/>
      <c r="G41" s="14" t="inlineStr">
        <is>
          <t>Psalms 37</t>
        </is>
      </c>
      <c r="H41" s="12" t="inlineStr">
        <is>
          <t>Tanach with Nikkud — Public Domain</t>
        </is>
      </c>
      <c r="I41" s="12" t="inlineStr">
        <is>
          <t>sefaria-psalms-37</t>
        </is>
      </c>
    </row>
    <row r="42" ht="409" customHeight="1">
      <c r="A42" s="7">
        <f>IF(LEN(TRIM(F42))=0,"Approved","Comment to address")</f>
        <v/>
      </c>
      <c r="B42" s="8" t="inlineStr">
        <is>
          <t>Psalm 38</t>
        </is>
      </c>
      <c r="C42" s="8" t="inlineStr">
        <is>
          <t>health</t>
        </is>
      </c>
      <c r="D42" s="8" t="inlineStr">
        <is>
          <t>Scriptural</t>
        </is>
      </c>
      <c r="E42" s="9" t="inlineStr">
        <is>
          <t>מִזְמוֹר לְדָוִד לְהַזְכִּיר׃
יְהוָה אַל־בְּקֶצְפְּךָ תוֹכִיחֵנִי וּבַחֲמָתְךָ תְיַסְּרֵנִי׃
כִּי־חִצֶּיךָ נִחֲתוּ בִי וַתִּנְחַת עָלַי יָדֶךָ׃
אֵין־מְתֹם בִּבְשָׂרִי מִפְּנֵי זַעְמֶךָ אֵין־שָׁלוֹם בַּעֲצָמַי מִפְּנֵי חַטָּאתִי׃
כִּי עֲוֺנֹתַי עָבְרוּ רֹאשִׁי כְּמַשָּׂא כָבֵד יִכְבְּדוּ מִמֶּנִּי׃
הִבְאִישׁוּ נָמַקּוּ חַבּוּרֹתָי מִפְּנֵי אִוַּלְתִּי׃
נַעֲוֵיתִי שַׁחֹתִי עַד־מְאֹד כָּל־הַיּוֹם קֹדֵר הִלָּכְתִּי׃
כִּי־כְסָלַי מָלְאוּ נִקְלֶה וְאֵין מְתֹם בִּבְשָׂרִי׃
נְפוּגוֹתִי וְנִדְכֵּיתִי עַד־מְאֹד שָׁאַגְתִּי מִנַּהֲמַת לִבִּי׃
אֲ‍דֹנָי נֶגְדְּךָ כָל־תַּאֲוָתִי וְאַנְחָתִי מִמְּךָ לֹא־נִסְתָּרָה׃
לִבִּי סְחַרְחַר עֲזָבַנִי כֹחִי וְאוֹר־עֵינַי גַּם־הֵם אֵין אִתִּי׃
אֹהֲבַי וְרֵעַי מִנֶּגֶד נִגְעִי יַעֲמֹדוּ וּקְרוֹבַי מֵרָחֹק עָמָדוּ׃
וַיְנַקְשׁוּ מְבַקְשֵׁי נַפְשִׁי וְדֹרְשֵׁי רָעָתִי דִּבְּרוּ הַוּוֹת וּמִרְמוֹת כָּל־הַיּוֹם יֶהְגּוּ׃
וַאֲנִי כְחֵרֵשׁ לֹא אֶשְׁמָע וּכְאִלֵּם לֹא יִפְתַּח־פִּיו׃
וָאֱהִי כְּאִישׁ אֲשֶׁר לֹא־שֹׁמֵעַ וְאֵין בְּפִיו תּוֹכָחוֹת׃
כִּי־לְךָ יְהוָה הוֹחָלְתִּי אַתָּה תַעֲנֶה אֲדֹנָי אֱלֹהָי׃
כִּי־אָמַרְתִּי פֶּן־יִשְׂמְחוּ־לִי בְּמוֹט רַגְלִי עָלַי הִגְדִּילוּ׃
כִּי־אֲנִי לְצֶלַע נָכוֹן וּמַכְאוֹבִי נֶגְדִּי תָמִיד׃
כִּי־עֲוֺנִי אַגִּיד אֶדְאַג מֵחַטָּאתִי׃
וְאֹיְבַי חַיִּים עָצֵמוּ וְרַבּוּ שֹׂנְאַי שָׁקֶר׃
וּמְשַׁלְּמֵי רָעָה תַּחַת טוֹבָה יִשְׂטְנוּנִי תַּחַת רדופי־[רָדְפִי־] טוֹב׃
אַל־תַּעַזְבֵנִי יְהוָה אֱלֹהַי אַל־תִּרְחַק מִמֶּנִּי׃
חוּשָׁה לְעֶזְרָתִי אֲדֹנָי תְּשׁוּעָתִי׃</t>
        </is>
      </c>
      <c r="F42" s="10" t="inlineStr"/>
      <c r="G42" s="11" t="inlineStr">
        <is>
          <t>Psalms 38</t>
        </is>
      </c>
      <c r="H42" s="8" t="inlineStr">
        <is>
          <t>Tanach with Nikkud — Public Domain</t>
        </is>
      </c>
      <c r="I42" s="8" t="inlineStr">
        <is>
          <t>sefaria-psalms-38</t>
        </is>
      </c>
    </row>
    <row r="43" ht="335" customHeight="1">
      <c r="A43" s="7">
        <f>IF(LEN(TRIM(F43))=0,"Approved","Comment to address")</f>
        <v/>
      </c>
      <c r="B43" s="12" t="inlineStr">
        <is>
          <t>Psalm 39</t>
        </is>
      </c>
      <c r="C43" s="12" t="inlineStr">
        <is>
          <t>health</t>
        </is>
      </c>
      <c r="D43" s="12" t="inlineStr">
        <is>
          <t>Scriptural</t>
        </is>
      </c>
      <c r="E43" s="13" t="inlineStr">
        <is>
          <t>לַמְנַצֵּחַ לידיתון [לִידוּתוּן] מִזְמוֹר לְדָוִד׃
אָמַרְתִּי אֶשְׁמְרָה דְרָכַי מֵחֲטוֹא בִלְשׁוֹנִי אֶשְׁמְרָה לְפִי מַחְסוֹם בְּעֹד רָשָׁע לְנֶגְדִּי׃
נֶאֱלַמְתִּי דוּמִיָּה הֶחֱשֵׁיתִי מִטּוֹב וּכְאֵבִי נֶעְכָּר׃
חַם־לִבִּי בְּקִרְבִּי בַּהֲגִיגִי תִבְעַר־אֵשׁ דִּבַּרְתִּי בִּלְשׁוֹנִי׃
הוֹדִיעֵנִי יְהוָה קִצִּי וּמִדַּת יָמַי מַה־הִיא אֵדְעָה מֶה־חָדֵל אָנִי׃
הִנֵּה טְפָחוֹת נָתַתָּה יָמַי וְחֶלְדִּי כְאַיִן נֶגְדֶּךָ אַךְ כָּל־הֶבֶל כָּל־אָדָם נִצָּב סֶלָה׃
אַךְ־בְּצֶלֶם יִתְהַלֶּךְ־אִישׁ אַךְ־הֶבֶל יֶהֱמָיוּן יִצְבֹּר וְלֹא־יֵדַע מִי־אֹסְפָם׃
וְעַתָּה מַה־קִּוִּיתִי אֲדֹנָי תּוֹחַלְתִּי לְךָ הִיא׃
מִכָּל־פְּשָׁעַי הַצִּילֵנִי חֶרְפַּת נָבָל אַל־תְּשִׂימֵנִי׃
נֶאֱלַמְתִּי לֹא אֶפְתַּח־פִּי כִּי אַתָּה עָשִׂיתָ׃
הָסֵר מֵעָלַי נִגְעֶךָ מִתִּגְרַת יָדְךָ אֲנִי כָלִיתִי׃
בְּתוֹכָחוֹת עַל־עָוֺן יִסַּרְתָּ אִישׁ וַתֶּמֶס כָּעָשׁ חֲמוּדוֹ אַךְ הֶבֶל כָּל־אָדָם סֶלָה׃
שִׁמְעָה־תְפִלָּתִי יְהוָה וְשַׁוְעָתִי הַאֲזִינָה אֶל־דִּמְעָתִי אַל־תֶּחֱרַשׁ כִּי גֵר אָנֹכִי עִמָּךְ תּוֹשָׁב כְּכָל־אֲבוֹתָי׃
הָשַׁע מִמֶּנִּי וְאַבְלִיגָה בְּטֶרֶם אֵלֵךְ וְאֵינֶנִּי׃</t>
        </is>
      </c>
      <c r="F43" s="10" t="inlineStr"/>
      <c r="G43" s="14" t="inlineStr">
        <is>
          <t>Psalms 39</t>
        </is>
      </c>
      <c r="H43" s="12" t="inlineStr">
        <is>
          <t>Tanach with Nikkud — Public Domain</t>
        </is>
      </c>
      <c r="I43" s="12" t="inlineStr">
        <is>
          <t>sefaria-psalms-39</t>
        </is>
      </c>
    </row>
    <row r="44" ht="409" customHeight="1">
      <c r="A44" s="7">
        <f>IF(LEN(TRIM(F44))=0,"Approved","Comment to address")</f>
        <v/>
      </c>
      <c r="B44" s="8" t="inlineStr">
        <is>
          <t>Psalm 40</t>
        </is>
      </c>
      <c r="C44" s="8" t="inlineStr">
        <is>
          <t>thanks</t>
        </is>
      </c>
      <c r="D44" s="8" t="inlineStr">
        <is>
          <t>Scriptural</t>
        </is>
      </c>
      <c r="E44" s="9" t="inlineStr">
        <is>
          <t>לַמְנַצֵּחַ לְדָוִד מִזְמוֹר׃
קַוֺּה קִוִּיתִי יְהוָה וַיֵּט אֵלַי וַיִּשְׁמַע שַׁוְעָתִי׃
וַיַּעֲלֵנִי מִבּוֹר שָׁאוֹן מִטִּיט הַיָּוֵן וַיָּקֶם עַל־סֶלַע רַגְלַי כּוֹנֵן אֲשֻׁרָי׃
וַיִּתֵּן בְּפִי שִׁיר חָדָשׁ תְּהִלָּה לֵאלֹהֵינוּ יִרְאוּ רַבִּים וְיִירָאוּ וְיִבְטְחוּ בַּיהוָה׃
אַשְׁרֵי הַגֶּבֶר אֲשֶׁר־שָׂם יְהֹוָה מִבְטַחוֹ וְלֹא־פָנָה אֶל־רְהָבִים וְשָׂטֵי כָזָב׃
רַבּוֹת עָשִׂיתָ אַתָּה יְהוָה אֱלֹהַי נִפְלְאֹתֶיךָ וּמַחְשְׁבֹתֶיךָ אֵלֵינוּ אֵין עֲרֹךְ אֵלֶיךָ אַגִּידָה וַאֲדַבֵּרָה עָצְמוּ מִסַּפֵּר׃
זֶבַח וּמִנְחָה לֹא־חָפַצְתָּ אָזְנַיִם כָּרִיתָ לִּי עוֹלָה וַחֲטָאָה לֹא שָׁאָלְתָּ׃
אָז אָמַרְתִּי הִנֵּה־בָאתִי בִּמְגִלַּת־סֵפֶר כָּתוּב עָלָי׃
לַעֲשׂוֹת־רְצוֹנְךָ אֱלֹהַי חָפָצְתִּי וְתוֹרָתְךָ בְּתוֹךְ מֵעָי׃
בִּשַּׂרְתִּי צֶדֶק בְּקָהָל רָב הִנֵּה שְׂפָתַי לֹא אֶכְלָא יְהוָה אַתָּה יָדָעְתָּ׃
צִדְקָתְךָ לֹא־כִסִּיתִי בְּתוֹךְ לִבִּי אֱמוּנָתְךָ וּתְשׁוּעָתְךָ אָמָרְתִּי לֹא־כִחַדְתִּי חַסְדְּךָ וַאֲמִתְּךָ לְקָהָל רָב׃
אַתָּה יְהוָה לֹא־תִכְלָא רַחֲמֶיךָ מִמֶּנִּי חַסְדְּךָ וַאֲמִתְּךָ תָּמִיד יִצְּרוּנִי׃
כִּי אָפְפוּ־עָלַי רָעוֹת עַד־אֵין מִסְפָּר הִשִּׂיגוּנִי עֲוֺנֹתַי וְלֹא־יָכֹלְתִּי לִרְאוֹת עָצְמוּ מִשַּׂעֲרוֹת רֹאשִׁי וְלִבִּי עֲזָבָנִי׃
רְצֵה יְהוָה לְהַצִּילֵנִי יְהוָה לְעֶזְרָתִי חוּשָׁה׃
יֵבֹשׁוּ וְיַחְפְּרוּ יַחַד מְבַקְשֵׁי נַפְשִׁי לִסְפּוֹתָהּ יִסֹּגוּ אָחוֹר וְיִכָּלְמוּ חֲפֵצֵי רָעָתִי׃
יָשֹׁמּוּ עַל־עֵקֶב בָּשְׁתָּם הָאֹמְרִים לִי הֶאָח הֶאָח׃
יָשִׂישׂוּ וְיִשְׂמְחוּ בְּךָ כָּל־מְבַקְשֶׁיךָ יֹאמְרוּ תָמִיד יִגְדַּל יְהוָה אֹהֲבֵי תְּשׁוּעָתֶךָ׃
וַאֲנִי עָנִי וְאֶבְיוֹן אֲדֹנָי יַחֲשָׁב לִי עֶזְרָתִי וּמְפַלְטִי אַתָּה אֱלֹהַי אַל־תְּאַחַר׃</t>
        </is>
      </c>
      <c r="F44" s="10" t="inlineStr"/>
      <c r="G44" s="11" t="inlineStr">
        <is>
          <t>Psalms 40</t>
        </is>
      </c>
      <c r="H44" s="8" t="inlineStr">
        <is>
          <t>Tanach with Nikkud — Public Domain</t>
        </is>
      </c>
      <c r="I44" s="8" t="inlineStr">
        <is>
          <t>sefaria-psalms-40</t>
        </is>
      </c>
    </row>
    <row r="45" ht="284" customHeight="1">
      <c r="A45" s="7">
        <f>IF(LEN(TRIM(F45))=0,"Approved","Comment to address")</f>
        <v/>
      </c>
      <c r="B45" s="12" t="inlineStr">
        <is>
          <t>Psalm 41</t>
        </is>
      </c>
      <c r="C45" s="12" t="inlineStr">
        <is>
          <t>health</t>
        </is>
      </c>
      <c r="D45" s="12" t="inlineStr">
        <is>
          <t>Scriptural</t>
        </is>
      </c>
      <c r="E45" s="13" t="inlineStr">
        <is>
          <t>לַמְנַצֵּחַ מִזְמוֹר לְדָוִד׃
אַשְׁרֵי מַשְׂכִּיל אֶל־דָּל בְּיוֹם רָעָה יְמַלְּטֵהוּ יְהוָה׃
יְהוָה יִשְׁמְרֵהוּ וִיחַיֵּהוּ יאשר [וְאֻשַּׁר] בָּאָרֶץ וְאַל־תִּתְּנֵהוּ בְּנֶפֶשׁ אֹיְבָיו׃
יְהוָה יִסְעָדֶנּוּ עַל־עֶרֶשׂ דְּוָי כָּל־מִשְׁכָּבוֹ הָפַכְתָּ בְחָלְיוֹ׃
אֲ‍נִי־אָמַרְתִּי יְהוָה חָנֵּנִי רְפָאָה נַפְשִׁי כִּי־חָטָאתִי לָךְ׃
אוֹיְבַי יֹאמְרוּ רַע לִי מָתַי יָמוּת וְאָבַד שְׁמוֹ׃
וְאִם־בָּא לִרְאוֹת שָׁוְא יְדַבֵּר לִבּוֹ יִקְבָּץ־אָוֶן לוֹ יֵצֵא לַחוּץ יְדַבֵּר׃
יַחַד עָלַי יִתְלַחֲשׁוּ כָּל־שֹׂנְאָי עָלַי יַחְשְׁבוּ רָעָה לִי׃
דְּבַר־בְּלִיַּעַל יָצוּק בּוֹ וַאֲשֶׁר שָׁכַב לֹא־יוֹסִיף לָקוּם׃
גַּם־אִישׁ שְׁלוֹמִי אֲשֶׁר־בָּטַחְתִּי בוֹ אוֹכֵל לַחְמִי הִגְדִּיל עָלַי עָקֵב׃
וְאַתָּה יְהוָה חָנֵּנִי וַהֲקִימֵנִי וַאֲשַׁלְּמָה לָהֶם׃
בְּזֹאת יָדַעְתִּי כִּי־חָפַצְתָּ בִּי כִּי לֹא־יָרִיעַ אֹיְבִי עָלָי׃
וַאֲנִי בְּתֻמִּי תָּמַכְתָּ בִּי וַתַּצִּיבֵנִי לְפָנֶיךָ לְעוֹלָם׃
בָּרוּךְ יְהוָה אֱלֹהֵי יִשְׂרָאֵל מֵהָעוֹלָם וְעַד הָעוֹלָם אָמֵן וְאָמֵן׃</t>
        </is>
      </c>
      <c r="F45" s="10" t="inlineStr"/>
      <c r="G45" s="14" t="inlineStr">
        <is>
          <t>Psalms 41</t>
        </is>
      </c>
      <c r="H45" s="12" t="inlineStr">
        <is>
          <t>Tanach with Nikkud — Public Domain</t>
        </is>
      </c>
      <c r="I45" s="12" t="inlineStr">
        <is>
          <t>sefaria-psalms-41</t>
        </is>
      </c>
    </row>
    <row r="46" ht="352" customHeight="1">
      <c r="A46" s="7">
        <f>IF(LEN(TRIM(F46))=0,"Approved","Comment to address")</f>
        <v/>
      </c>
      <c r="B46" s="8" t="inlineStr">
        <is>
          <t>Psalm 42</t>
        </is>
      </c>
      <c r="C46" s="8" t="inlineStr">
        <is>
          <t>health</t>
        </is>
      </c>
      <c r="D46" s="8" t="inlineStr">
        <is>
          <t>Scriptural</t>
        </is>
      </c>
      <c r="E46" s="9" t="inlineStr">
        <is>
          <t>לַמְנַצֵּחַ מַשְׂכִּיל לִבְנֵי־קֹרַח׃
כְּאַיָּל תַּעֲרֹג עַל־אֲפִיקֵי־מָיִם כֵּן נַפְשִׁי תַעֲרֹג אֵלֶיךָ אֱלֹהִים׃
צָמְאָה נַפְשִׁי לֵאלֹהִים לְאֵל חָי מָתַי אָבוֹא וְאֵרָאֶה פְּנֵי אֱלֹהִים׃
הָיְתָה־לִּי דִמְעָתִי לֶחֶם יוֹמָם וָלָיְלָה בֶּאֱמֹר אֵלַי כָּל־הַיּוֹם אַיֵּה אֱלֹהֶיךָ׃
אֵלֶּה אֶזְכְּרָה וְאֶשְׁפְּכָה עָלַי נַפְשִׁי כִּי אֶעֱבֹר בַּסָּךְ אֶדַּדֵּם עַד־בֵּית אֱלֹהִים בְּקוֹל־רִנָּה וְתוֹדָה הָמוֹן חוֹגֵג׃
מַה־תִּשְׁתּוֹחֲחִי נַפְשִׁי וַתֶּהֱמִי עָלָי הוֹחִילִי לֵאלֹהִים כִּי־עוֹד אוֹדֶנּוּ יְשׁוּעוֹת פָּנָיו׃
אֱ‍לֹהַי עָלַי נַפְשִׁי תִשְׁתּוֹחָח עַל־כֵּן אֶזְכָּרְךָ מֵאֶרֶץ יַרְדֵּן וְחֶרְמוֹנִים מֵהַר מִצְעָר׃
תְּהוֹם־אֶל־תְּהוֹם קוֹרֵא לְקוֹל צִנּוֹרֶיךָ כָּל־מִשְׁבָּרֶיךָ וְגַלֶּיךָ עָלַי עָבָרוּ׃
יוֹמָם יְצַוֶּה יְהוָה חַסְדּוֹ וּבַלַּיְלָה שירה [שִׁירוֹ] עִמִּי תְּפִלָּה לְאֵל חַיָּי׃
אוֹמְרָה לְאֵל סַלְעִי לָמָה שְׁכַחְתָּנִי לָמָּה־קֹדֵר אֵלֵךְ בְּלַחַץ אוֹיֵב׃
בְּרֶצַח בְּעַצְמוֹתַי חֵרְפוּנִי צוֹרְרָי בְּאָמְרָם אֵלַי כָּל־הַיּוֹם אַיֵּה אֱלֹהֶיךָ׃
מַה־תִּשְׁתּוֹחֲחִי נַפְשִׁי וּמַה־תֶּהֱמִי עָלָי הוֹחִילִי לֵאלֹהִים כִּי־עוֹד אוֹדֶנּוּ יְשׁוּעֹת פָּנַי וֵאלֹהָי׃</t>
        </is>
      </c>
      <c r="F46" s="10" t="inlineStr"/>
      <c r="G46" s="11" t="inlineStr">
        <is>
          <t>Psalms 42</t>
        </is>
      </c>
      <c r="H46" s="8" t="inlineStr">
        <is>
          <t>Tanach with Nikkud — Public Domain</t>
        </is>
      </c>
      <c r="I46" s="8" t="inlineStr">
        <is>
          <t>sefaria-psalms-42</t>
        </is>
      </c>
    </row>
    <row r="47" ht="182" customHeight="1">
      <c r="A47" s="7">
        <f>IF(LEN(TRIM(F47))=0,"Approved","Comment to address")</f>
        <v/>
      </c>
      <c r="B47" s="12" t="inlineStr">
        <is>
          <t>Psalm 43</t>
        </is>
      </c>
      <c r="C47" s="12" t="inlineStr">
        <is>
          <t>study</t>
        </is>
      </c>
      <c r="D47" s="12" t="inlineStr">
        <is>
          <t>Scriptural</t>
        </is>
      </c>
      <c r="E47" s="13" t="inlineStr">
        <is>
          <t>שָׁפְטֵנִי אֱלֹהִים וְרִיבָה רִיבִי מִגּוֹי לֹא־חָסִיד מֵאִישׁ־מִרְמָה וְעַוְלָה תְפַלְּטֵנִי׃
כִּי־אַתָּה אֱלֹהֵי מָעוּזִּי לָמָה זְנַחְתָּנִי לָמָּה־קֹדֵר אֶתְהַלֵּךְ בְּלַחַץ אוֹיֵב׃
שְׁלַח־אוֹרְךָ וַאֲמִתְּךָ הֵמָּה יַנְחוּנִי יְבִיאוּנִי אֶל־הַר־קָדְשְׁךָ וְאֶל־מִשְׁכְּנוֹתֶיךָ׃
וְאָבוֹאָה אֶל־מִזְבַּח אֱלֹהִים אֶל־אֵל שִׂמְחַת גִּילִי וְאוֹדְךָ בְכִנּוֹר אֱלֹהִים אֱלֹהָי׃
מַה־תִּשְׁתּוֹחֲחִי נַפְשִׁי וּמַה־תֶּהֱמִי עָלָי הוֹחִילִי לֵאלֹהִים כִּי־עוֹד אוֹדֶנּוּ יְשׁוּעֹת פָּנַי וֵאלֹהָי׃</t>
        </is>
      </c>
      <c r="F47" s="10" t="inlineStr"/>
      <c r="G47" s="14" t="inlineStr">
        <is>
          <t>Psalms 43</t>
        </is>
      </c>
      <c r="H47" s="12" t="inlineStr">
        <is>
          <t>Tanach with Nikkud — Public Domain</t>
        </is>
      </c>
      <c r="I47" s="12" t="inlineStr">
        <is>
          <t>sefaria-psalms-43</t>
        </is>
      </c>
    </row>
    <row r="48" ht="409" customHeight="1">
      <c r="A48" s="7">
        <f>IF(LEN(TRIM(F48))=0,"Approved","Comment to address")</f>
        <v/>
      </c>
      <c r="B48" s="8" t="inlineStr">
        <is>
          <t>Psalm 44</t>
        </is>
      </c>
      <c r="C48" s="8" t="inlineStr">
        <is>
          <t>mourning</t>
        </is>
      </c>
      <c r="D48" s="8" t="inlineStr">
        <is>
          <t>Scriptural</t>
        </is>
      </c>
      <c r="E48" s="9" t="inlineStr">
        <is>
          <t>לַמְנַצֵּחַ לִבְנֵי־קֹרַח מַשְׂכִּיל׃
אֱלֹהִים בְּאָזְנֵינוּ שָׁמַעְנוּ אֲבוֹתֵינוּ סִפְּרוּ־לָנוּ פֹּעַל פָּעַלְתָּ בִימֵיהֶם בִּימֵי קֶדֶם׃
אַתָּה יָדְךָ גּוֹיִם הוֹרַשְׁתָּ וַתִּטָּעֵם תָּרַע לְאֻמִּים וַתְּשַׁלְּחֵם׃
כִּי לֹא בְחַרְבָּם יָרְשׁוּ אָרֶץ וּזְרוֹעָם לֹא־הוֹשִׁיעָה לָּמוֹ כִּי־יְמִינְךָ וּזְרוֹעֲךָ וְאוֹר פָּנֶיךָ כִּי רְצִיתָם׃
אַתָּה־הוּא מַלְכִּי אֱלֹהִים צַוֵּה יְשׁוּעוֹת יַעֲקֹב׃
בְּךָ צָרֵינוּ נְנַגֵּחַ בְּשִׁמְךָ נָבוּס קָמֵינוּ׃
כִּי לֹא בְקַשְׁתִּי אֶבְטָח וְחַרְבִּי לֹא תוֹשִׁיעֵנִי׃
כִּי הוֹשַׁעְתָּנוּ מִצָּרֵינוּ וּמְשַׂנְאֵינוּ הֱבִישׁוֹתָ׃
בֵּאלֹהִים הִלַּלְנוּ כָל־הַיּוֹם וְשִׁמְךָ לְעוֹלָם נוֹדֶה סֶלָה׃
אַף־זָנַחְתָּ וַתַּכְלִימֵנוּ וְלֹא־תֵצֵא בְּצִבְאוֹתֵינוּ׃
תְּשִׁיבֵנוּ אָחוֹר מִנִּי־צָר וּמְשַׂנְאֵינוּ שָׁסוּ לָמוֹ׃
תִּתְּנֵנוּ כְּצֹאן מַאֲכָל וּבַגּוֹיִם זֵרִיתָנוּ׃
תִּמְכֹּר־עַמְּךָ בְלֹא־הוֹן וְלֹא־רִבִּיתָ בִּמְחִירֵיהֶם׃
תְּשִׂימֵנוּ חֶרְפָּה לִשְׁכֵנֵינוּ לַעַג וָקֶלֶס לִסְבִיבוֹתֵינוּ׃
תְּשִׂימֵנוּ מָשָׁל בַּגּוֹיִם מְנוֹד־רֹאשׁ בַּל־אֻמִּים׃
כָּל־הַיּוֹם כְּלִמָּתִי נֶגְדִּי וּבֹשֶׁת פָּנַי כִּסָּתְנִי׃
מִקּוֹל מְחָרֵף וּמְגַדֵּף מִפְּנֵי אוֹיֵב וּמִתְנַקֵּם׃
כָּל־זֹאת בָּאַתְנוּ וְלֹא שְׁכַחֲנוּךָ וְלֹא־שִׁקַּרְנוּ בִּבְרִיתֶךָ׃
לֹא־נָסוֹג אָחוֹר לִבֵּנוּ וַתֵּט אֲשֻׁרֵינוּ מִנִּי אָרְחֶךָ׃
כִּי דִכִּיתָנוּ בִּמְקוֹם תַּנִּים וַתְּכַס עָלֵינוּ בְצַלְמָוֶת׃
אִם־שָׁכַחְנוּ שֵׁם אֱלֹהֵינוּ וַנִּפְרֹשׂ כַּפֵּינוּ לְאֵל זָר׃
הֲלֹא אֱלֹהִים יַחֲקָר־זֹאת כִּי־הוּא יֹדֵעַ תַּעֲלֻמוֹת לֵב׃
כִּי־עָלֶיךָ הֹרַגְנוּ כָל־הַיּוֹם נֶחְשַׁבְנוּ כְּצֹאן טִבְחָה׃
עוּרָה לָמָּה תִישַׁן אֲדֹנָי הָקִיצָה אַל־תִּזְנַח לָנֶצַח׃
לָמָּה־פָנֶיךָ תַסְתִּיר תִּשְׁכַּח עָנְיֵנוּ וְלַחֲצֵנוּ׃
כִּי שָׁחָה לֶעָפָר נַפְשֵׁנוּ דָּבְקָה לָאָרֶץ בִּטְנֵנוּ׃
קוּמָה עֶזְרָתָה לָּנוּ וּפְדֵנוּ לְמַעַן חַסְדֶּךָ׃</t>
        </is>
      </c>
      <c r="F48" s="10" t="inlineStr"/>
      <c r="G48" s="11" t="inlineStr">
        <is>
          <t>Psalms 44</t>
        </is>
      </c>
      <c r="H48" s="8" t="inlineStr">
        <is>
          <t>Tanach with Nikkud — Public Domain</t>
        </is>
      </c>
      <c r="I48" s="8" t="inlineStr">
        <is>
          <t>sefaria-psalms-44</t>
        </is>
      </c>
    </row>
    <row r="49" ht="386" customHeight="1">
      <c r="A49" s="7">
        <f>IF(LEN(TRIM(F49))=0,"Approved","Comment to address")</f>
        <v/>
      </c>
      <c r="B49" s="12" t="inlineStr">
        <is>
          <t>Psalm 45</t>
        </is>
      </c>
      <c r="C49" s="12" t="inlineStr">
        <is>
          <t>source</t>
        </is>
      </c>
      <c r="D49" s="12" t="inlineStr">
        <is>
          <t>Scriptural</t>
        </is>
      </c>
      <c r="E49" s="13" t="inlineStr">
        <is>
          <t>לַמְנַצֵּחַ עַל־שֹׁשַׁנִּים לִבְנֵי־קֹרַח מַשְׂכִּיל שִׁיר יְדִידֹת׃
רָחַשׁ לִבִּי דָּבָר טוֹב אֹמֵר אָנִי מַעֲשַׂי לְמֶלֶךְ לְשׁוֹנִי עֵט סוֹפֵר מָהִיר׃
יָפְיָפִיתָ מִבְּנֵי אָדָם הוּצַק חֵן בְּשְׂפְתוֹתֶיךָ עַל־כֵּן בֵּרַכְךָ אֱלֹהִים לְעוֹלָם׃
חֲגוֹר־חַרְבְּךָ עַל־יָרֵךְ גִּבּוֹר הוֹדְךָ וַהֲדָרֶךָ׃
וַהֲדָרְךָ צְלַח רְכַב עַל־דְּבַר־אֱמֶת וְעַנְוָה־צֶדֶק וְתוֹרְךָ נוֹרָאוֹת יְמִינֶךָ׃
חִצֶּיךָ שְׁנוּנִים עַמִּים תַּחְתֶּיךָ יִפְּלוּ בְּלֵב אוֹיְבֵי הַמֶּלֶךְ׃
כִּסְאֲךָ אֱלֹהִים עוֹלָם וָעֶד שֵׁבֶט מִישֹׁר שֵׁבֶט מַלְכוּתֶךָ׃
אָהַבְתָּ צֶּדֶק וַתִּשְׂנָא רֶשַׁע עַל־כֵּן מְשָׁחֲךָ אֱלֹהִים אֱלֹהֶיךָ שֶׁמֶן שָׂשׂוֹן מֵחֲבֵרֶיךָ׃
מֹר־וַאֲהָלוֹת קְצִיעוֹת כָּל־בִּגְדֹתֶיךָ מִן־הֵיכְלֵי שֵׁן מִנִּי שִׂמְּחוּךָ׃
בְּנוֹת מְלָכִים בְּיִקְּרוֹתֶיךָ נִצְּבָה שֵׁגַל לִימִינְךָ בְּכֶתֶם אוֹפִיר׃
שִׁמְעִי־בַת וּרְאִי וְהַטִּי אָזְנֵךְ וְשִׁכְחִי עַמֵּךְ וּבֵית אָבִיךְ׃
וְיִתְאָו הַמֶּלֶךְ יָפְיֵךְ כִּי־הוּא אֲדֹנַיִךְ וְהִשְׁתַּחֲוִי־לוֹ׃
וּבַת־צֹר בְּמִנְחָה פָּנַיִךְ יְחַלּוּ עֲשִׁירֵי עָם׃
כָּל־כְּבוּדָּה בַת־מֶלֶךְ פְּנִימָה מִמִּשְׁבְּצוֹת זָהָב לְבוּשָׁהּ׃
לִרְקָמוֹת תּוּבַל לַמֶּלֶךְ בְּתוּלוֹת אַחֲרֶיהָ רֵעוֹתֶיהָ מוּבָאוֹת לָךְ׃
תּוּבַלְנָה בִּשְׂמָחֹת וָגִיל תְּבֹאֶינָה בְּהֵיכַל מֶלֶךְ׃
תַּחַת אֲבֹתֶיךָ יִהְיוּ בָנֶיךָ תְּשִׁיתֵמוֹ לְשָׂרִים בְּכָל־הָאָרֶץ׃
אַזְכִּירָה שִׁמְךָ בְּכָל־דֹּר וָדֹר עַל־כֵּן עַמִּים יְהוֹדֻךָ לְעֹלָם וָעֶד׃</t>
        </is>
      </c>
      <c r="F49" s="10" t="inlineStr"/>
      <c r="G49" s="14" t="inlineStr">
        <is>
          <t>Psalms 45</t>
        </is>
      </c>
      <c r="H49" s="12" t="inlineStr">
        <is>
          <t>Tanach with Nikkud — Public Domain</t>
        </is>
      </c>
      <c r="I49" s="12" t="inlineStr">
        <is>
          <t>sefaria-psalms-45</t>
        </is>
      </c>
    </row>
    <row r="50" ht="233" customHeight="1">
      <c r="A50" s="7">
        <f>IF(LEN(TRIM(F50))=0,"Approved","Comment to address")</f>
        <v/>
      </c>
      <c r="B50" s="8" t="inlineStr">
        <is>
          <t>Psalm 46</t>
        </is>
      </c>
      <c r="C50" s="8" t="inlineStr">
        <is>
          <t>protection</t>
        </is>
      </c>
      <c r="D50" s="8" t="inlineStr">
        <is>
          <t>Scriptural</t>
        </is>
      </c>
      <c r="E50" s="9" t="inlineStr">
        <is>
          <t>לַמְנַצֵּחַ לִבְנֵי־קֹרַח עַל־עֲלָמוֹת שִׁיר׃
אֱלֹהִים לָנוּ מַחֲסֶה וָעֹז עֶזְרָה בְצָרוֹת נִמְצָא מְאֹד׃
עַל־כֵּן לֹא־נִירָא בְּהָמִיר אָרֶץ וּבְמוֹט הָרִים בְּלֵב יַמִּים׃
יֶהֱמוּ יֶחְמְרוּ מֵימָיו יִרְעֲשׁוּ־הָרִים בְּגַאֲוָתוֹ סֶלָה׃
נָהָר פְּלָגָיו יְשַׂמְּחוּ עִיר־אֱלֹהִים קְדֹשׁ מִשְׁכְּנֵי עֶלְיוֹן׃
אֱלֹהִים בְּקִרְבָּהּ בַּל־תִּמּוֹט יַעְזְרֶהָ אֱלֹהִים לִפְנוֹת בֹּקֶר׃
הָמוּ גוֹיִם מָטוּ מַמְלָכוֹת נָתַן בְּקוֹלוֹ תָּמוּג אָרֶץ׃
יְהוָה צְבָאוֹת עִמָּנוּ מִשְׂגָּב־לָנוּ אֱלֹהֵי יַעֲקֹב סֶלָה׃
לְכוּ־חֲזוּ מִפְעֲלוֹת יְהוָה אֲשֶׁר־שָׂם שַׁמּוֹת בָּאָרֶץ׃
מַשְׁבִּית מִלְחָמוֹת עַד־קְצֵה הָאָרֶץ קֶשֶׁת יְשַׁבֵּר וְקִצֵּץ חֲנִית עֲגָלוֹת יִשְׂרֹף בָּאֵשׁ׃
הַרְפּוּ וּדְעוּ כִּי־אָנֹכִי אֱלֹהִים אָרוּם בַּגּוֹיִם אָרוּם בָּאָרֶץ׃
יְהוָה צְבָאוֹת עִמָּנוּ מִשְׂגָּב־לָנוּ אֱלֹהֵי יַעֲקֹב סֶלָה׃</t>
        </is>
      </c>
      <c r="F50" s="10" t="inlineStr"/>
      <c r="G50" s="11" t="inlineStr">
        <is>
          <t>Psalms 46</t>
        </is>
      </c>
      <c r="H50" s="8" t="inlineStr">
        <is>
          <t>Tanach with Nikkud — Public Domain</t>
        </is>
      </c>
      <c r="I50" s="8" t="inlineStr">
        <is>
          <t>sefaria-psalms-46</t>
        </is>
      </c>
    </row>
    <row r="51" ht="199" customHeight="1">
      <c r="A51" s="7">
        <f>IF(LEN(TRIM(F51))=0,"Approved","Comment to address")</f>
        <v/>
      </c>
      <c r="B51" s="12" t="inlineStr">
        <is>
          <t>Psalm 47</t>
        </is>
      </c>
      <c r="C51" s="12" t="inlineStr">
        <is>
          <t>thanks</t>
        </is>
      </c>
      <c r="D51" s="12" t="inlineStr">
        <is>
          <t>Scriptural</t>
        </is>
      </c>
      <c r="E51" s="13" t="inlineStr">
        <is>
          <t>לַמְנַצֵּחַ לִבְנֵי־קֹרַח מִזְמוֹר׃
כָּל־הָעַמִּים תִּקְעוּ־כָף הָרִיעוּ לֵאלֹהִים בְּקוֹל רִנָּה׃
כִּי־יְהוָה עֶלְיוֹן נוֹרָא מֶלֶךְ גָּדוֹל עַל־כָּל־הָאָרֶץ׃
יַדְבֵּר עַמִּים תַּחְתֵּינוּ וּלְאֻמִּים תַּחַת רַגְלֵינוּ׃
יִבְחַר־לָנוּ אֶת־נַחֲלָתֵנוּ אֶת גְּאוֹן יַעֲקֹב אֲשֶׁר־אָהֵב סֶלָה׃
עָלָה אֱלֹהִים בִּתְרוּעָה יְהֹוָה בְּקוֹל שׁוֹפָר׃
זַמְּרוּ אֱלֹהִים זַמֵּרוּ זַמְּרוּ לְמַלְכֵּנוּ זַמֵּרוּ׃
כִּי מֶלֶךְ כָּל־הָאָרֶץ אֱלֹהִים זַמְּרוּ מַשְׂכִּיל׃
מָלַךְ אֱלֹהִים עַל־גּוֹיִם אֱלֹהִים יָשַׁב עַל־כִּסֵּא קָדְשׁוֹ׃
נְדִיבֵי עַמִּים נֶאֱסָפוּ עַם אֱלֹהֵי אַבְרָהָם כִּי לֵאלֹהִים מָגִנֵּי־אֶרֶץ מְאֹד נַעֲלָה׃</t>
        </is>
      </c>
      <c r="F51" s="10" t="inlineStr"/>
      <c r="G51" s="14" t="inlineStr">
        <is>
          <t>Psalms 47</t>
        </is>
      </c>
      <c r="H51" s="12" t="inlineStr">
        <is>
          <t>Tanach with Nikkud — Public Domain</t>
        </is>
      </c>
      <c r="I51" s="12" t="inlineStr">
        <is>
          <t>sefaria-psalms-47</t>
        </is>
      </c>
    </row>
    <row r="52" ht="318" customHeight="1">
      <c r="A52" s="7">
        <f>IF(LEN(TRIM(F52))=0,"Approved","Comment to address")</f>
        <v/>
      </c>
      <c r="B52" s="8" t="inlineStr">
        <is>
          <t>Psalm 48</t>
        </is>
      </c>
      <c r="C52" s="8" t="inlineStr">
        <is>
          <t>source</t>
        </is>
      </c>
      <c r="D52" s="8" t="inlineStr">
        <is>
          <t>Scriptural</t>
        </is>
      </c>
      <c r="E52" s="9" t="inlineStr">
        <is>
          <t>שִׁיר מִזְמוֹר לִבְנֵי־קֹרַח׃
גָּדוֹל יְהוָה וּמְהֻלָּל מְאֹד בְּעִיר אֱלֹהֵינוּ הַר־קָדְשׁוֹ׃
יְפֵה נוֹף מְשׂוֹשׂ כָּל־הָאָרֶץ הַר־צִיּוֹן יַרְכְּתֵי צָפוֹן קִרְיַת מֶלֶךְ רָב׃
אֱלֹהִים בְּאַרְמְנוֹתֶיהָ נוֹדַע לְמִשְׂגָּב׃
כִּי־הִנֵּה הַמְּלָכִים נוֹעֲדוּ עָבְרוּ יַחְדָּו׃
הֵמָּה רָאוּ כֵּן תָּמָהוּ נִבְהֲלוּ נֶחְפָּזוּ׃
רְעָדָה אֲחָזָתַם שָׁם חִיל כַּיּוֹלֵדָה׃
בְּרוּחַ קָדִים תְּשַׁבֵּר אֳנִיּוֹת תַּרְשִׁישׁ׃
כַּאֲשֶׁר שָׁמַעְנוּ כֵּן רָאִינוּ בְּעִיר־יְהוָה צְבָאוֹת בְּעִיר אֱלֹהֵינוּ אֱלֹהִים יְכוֹנְנֶהָ עַד־עוֹלָם סֶלָה׃
דִּמִּינוּ אֱלֹהִים חַסְדֶּךָ בְּקֶרֶב הֵיכָלֶךָ׃
כְּשִׁמְךָ אֱלֹהִים כֵּן תְּהִלָּתְךָ עַל־קַצְוֵי־אֶרֶץ צֶדֶק מָלְאָה יְמִינֶךָ׃
יִשְׂמַח הַר־צִיּוֹן תָּגֵלְנָה בְּנוֹת יְהוּדָה לְמַעַן מִשְׁפָּטֶיךָ׃
סֹבּוּ צִיּוֹן וְהַקִּיפוּהָ סִפְרוּ מִגְדָּלֶיהָ׃
שִׁיתוּ לִבְּכֶם לְחֵילָה פַּסְּגוּ אַרְמְנוֹתֶיהָ לְמַעַן תְּסַפְּרוּ לְדוֹר אַחֲרוֹן׃
כִּי זֶה אֱלֹהִים אֱלֹהֵינוּ עוֹלָם וָעֶד הוּא יְנַהֲגֵנוּ עַל־מוּת׃</t>
        </is>
      </c>
      <c r="F52" s="10" t="inlineStr"/>
      <c r="G52" s="11" t="inlineStr">
        <is>
          <t>Psalms 48</t>
        </is>
      </c>
      <c r="H52" s="8" t="inlineStr">
        <is>
          <t>Tanach with Nikkud — Public Domain</t>
        </is>
      </c>
      <c r="I52" s="8" t="inlineStr">
        <is>
          <t>sefaria-psalms-48</t>
        </is>
      </c>
    </row>
    <row r="53" ht="409" customHeight="1">
      <c r="A53" s="7">
        <f>IF(LEN(TRIM(F53))=0,"Approved","Comment to address")</f>
        <v/>
      </c>
      <c r="B53" s="12" t="inlineStr">
        <is>
          <t>Psalm 49</t>
        </is>
      </c>
      <c r="C53" s="12" t="inlineStr">
        <is>
          <t>health</t>
        </is>
      </c>
      <c r="D53" s="12" t="inlineStr">
        <is>
          <t>Scriptural</t>
        </is>
      </c>
      <c r="E53" s="13" t="inlineStr">
        <is>
          <t>לַמְנַצֵּחַ לִבְנֵי־קֹרַח מִזְמוֹר׃
שִׁמְעוּ־זֹאת כָּל־הָעַמִּים הַאֲזִינוּ כָּל־יֹשְׁבֵי חָלֶד׃
גַּם־בְּנֵי אָדָם גַּם־בְּנֵי־אִישׁ יַחַד עָשִׁיר וְאֶבְיוֹן׃
פִּי יְדַבֵּר חָכְמוֹת וְהָגוּת לִבִּי תְבוּנוֹת׃
אַטֶּה לְמָשָׁל אָזְנִי אֶפְתַּח בְּכִנּוֹר חִידָתִי׃
לָמָּה אִירָא בִּימֵי רָע עֲוֺן עֲקֵבַי יְסוּבֵּנִי׃
הַבֹּטְחִים עַל־חֵילָם וּבְרֹב עָשְׁרָם יִתְהַלָּלוּ׃
אָח לֹא־פָדֹה יִפְדֶּה אִישׁ לֹא־יִתֵּן לֵאלֹהִים כָּפְרוֹ׃
וְיֵקַר פִּדְיוֹן נַפְשָׁם וְחָדַל לְעוֹלָם׃
וִיחִי־עוֹד לָנֶצַח לֹא יִרְאֶה הַשָּׁחַת׃
כִּי יִרְאֶה חֲכָמִים יָמוּתוּ יַחַד כְּסִיל וָבַעַר יֹאבֵדוּ וְעָזְבוּ לַאֲחֵרִים חֵילָם׃
קִרְבָּם בָּתֵּימוֹ לְעוֹלָם מִשְׁכְּנֹתָם לְדֹר וָדֹר קָרְאוּ בִשְׁמוֹתָם עֲלֵי אֲדָמוֹת׃
וְאָדָם בִּיקָר בַּל־יָלִין נִמְשַׁל כַּבְּהֵמוֹת נִדְמוּ׃
זֶה דַרְכָּם כֵּסֶל לָמוֹ וְאַחֲרֵיהֶם בְּפִיהֶם יִרְצוּ סֶלָה׃
כַּצֹּאן לִשְׁאוֹל שַׁתּוּ מָוֶת יִרְעֵם וַיִּרְדּוּ בָם יְשָׁרִים לַבֹּקֶר וצירם [וְצוּרָם] לְבַלּוֹת שְׁאוֹל מִזְּבֻל לוֹ׃
אַךְ־אֱלֹהִים יִפְדֶּה נַפְשִׁי מִיַּד־שְׁאוֹל כִּי יִקָּחֵנִי סֶלָה׃
אַל־תִּירָא כִּי־יַעֲשִׁר אִישׁ כִּי־יִרְבֶּה כְּבוֹד בֵּיתוֹ׃
כִּי לֹא בְמוֹתוֹ יִקַּח הַכֹּל לֹא־יֵרֵד אַחֲרָיו כְּבוֹדוֹ׃
כִּי־נַפְשׁוֹ בְּחַיָּיו יְבָרֵךְ וְיוֹדֻךָ כִּי־תֵיטִיב לָךְ׃
תָּבוֹא עַד־דּוֹר אֲבוֹתָיו עַד־נֵצַח לֹא יִרְאוּ־אוֹר׃
אָדָם בִּיקָר וְלֹא יָבִין נִמְשַׁל כַּבְּהֵמוֹת נִדְמוּ׃</t>
        </is>
      </c>
      <c r="F53" s="10" t="inlineStr"/>
      <c r="G53" s="14" t="inlineStr">
        <is>
          <t>Psalms 49</t>
        </is>
      </c>
      <c r="H53" s="12" t="inlineStr">
        <is>
          <t>Tanach with Nikkud — Public Domain</t>
        </is>
      </c>
      <c r="I53" s="12" t="inlineStr">
        <is>
          <t>sefaria-psalms-49</t>
        </is>
      </c>
    </row>
    <row r="54" ht="409" customHeight="1">
      <c r="A54" s="7">
        <f>IF(LEN(TRIM(F54))=0,"Approved","Comment to address")</f>
        <v/>
      </c>
      <c r="B54" s="8" t="inlineStr">
        <is>
          <t>Psalm 50</t>
        </is>
      </c>
      <c r="C54" s="8" t="inlineStr">
        <is>
          <t>repentance</t>
        </is>
      </c>
      <c r="D54" s="8" t="inlineStr">
        <is>
          <t>Scriptural</t>
        </is>
      </c>
      <c r="E54" s="9" t="inlineStr">
        <is>
          <t>מִזְמוֹר לְאָסָף אֵל אֱ‍לֹהִים יְהוָה דִּבֶּר וַיִּקְרָא־אָרֶץ מִמִּזְרַח־שֶׁמֶשׁ עַד־מְבֹאוֹ׃
מִצִּיּוֹן מִכְלַל־יֹפִי אֱלֹהִים הוֹפִיעַ׃
יָבֹא אֱלֹהֵינוּ וְאַל־יֶחֱרַשׁ אֵשׁ־לְפָנָיו תֹּאכֵל וּסְבִיבָיו נִשְׂעֲרָה מְאֹד׃
יִקְרָא אֶל־הַשָּׁמַיִם מֵעָל וְאֶל־הָאָרֶץ לָדִין עַמּוֹ׃
אִסְפוּ־לִי חֲסִידָי כֹּרְתֵי בְרִיתִי עֲלֵי־זָבַח׃
וַיַּגִּידוּ שָׁמַיִם צִדְקוֹ כִּי־אֱלֹהִים שֹׁפֵט הוּא סֶלָה׃
שִׁמְעָה עַמִּי וַאֲדַבֵּרָה יִשְׂרָאֵל וְאָעִידָה בָּךְ אֱלֹהִים אֱלֹהֶיךָ אָנֹכִי׃
לֹא עַל־זְבָחֶיךָ אוֹכִיחֶךָ וְעוֹלֹתֶיךָ לְנֶגְדִּי תָמִיד׃
לֹא־אֶקַּח מִבֵּיתְךָ פָר מִמִּכְלְאֹתֶיךָ עַתּוּדִים׃
כִּי־לִי כָל־חַיְתוֹ־יָעַר בְּהֵמוֹת בְּהַרְרֵי־אָלֶף׃
יָדַעְתִּי כָּל־עוֹף הָרִים וְזִיז שָׂדַי עִמָּדִי׃
אִם־אֶרְעַב לֹא־אֹמַר לָךְ כִּי־לִי תֵבֵל וּמְלֹאָהּ׃
הַאוֹכַל בְּשַׂר אַבִּירִים וְדַם עַתּוּדִים אֶשְׁתֶּה׃
זְבַח לֵאלֹהִים תּוֹדָה וְשַׁלֵּם לְעֶלְיוֹן נְדָרֶיךָ׃
וּקְרָאֵנִי בְּיוֹם צָרָה אֲחַלֶּצְךָ וּתְכַבְּדֵנִי׃
וְלָרָשָׁע אָמַר אֱלֹהִים מַה־לְּךָ לְסַפֵּר חֻקָּי וַתִּשָּׂא בְרִיתִי עֲלֵי־פִיךָ׃
וְאַתָּה שָׂנֵאתָ מוּסָר וַתַּשְׁלֵךְ דְּבָרַי אַחֲרֶיךָ׃
אִם־רָאִיתָ גַנָּב וַתִּרֶץ עִמּוֹ וְעִם מְנָאֲפִים חֶלְקֶךָ׃
פִּיךָ שָׁלַחְתָּ בְרָעָה וּלְשׁוֹנְךָ תַּצְמִיד מִרְמָה׃
תֵּשֵׁב בְּאָחִיךָ תְדַבֵּר בְּבֶן־אִמְּךָ תִּתֶּן־דֹּפִי׃
אֵלֶּה עָשִׂיתָ וְהֶחֱרַשְׁתִּי דִּמִּיתָ הֱיוֹת־אֶהְיֶה כָמוֹךָ אוֹכִיחֲךָ וְאֶעֶרְכָה לְעֵינֶיךָ׃
בִּינוּ־נָא זֹאת שֹׁכְחֵי אֱלוֹהַּ פֶּן־אֶטְרֹף וְאֵין מַצִּיל׃
זֹבֵחַ תּוֹדָה יְכַבְּדָנְנִי וְשָׂם דֶּרֶךְ אַרְאֶנּוּ בְּיֵשַׁע אֱלֹהִים׃</t>
        </is>
      </c>
      <c r="F54" s="10" t="inlineStr"/>
      <c r="G54" s="11" t="inlineStr">
        <is>
          <t>Psalms 50</t>
        </is>
      </c>
      <c r="H54" s="8" t="inlineStr">
        <is>
          <t>Tanach with Nikkud — Public Domain</t>
        </is>
      </c>
      <c r="I54" s="8" t="inlineStr">
        <is>
          <t>sefaria-psalms-50</t>
        </is>
      </c>
    </row>
    <row r="55" ht="403" customHeight="1">
      <c r="A55" s="7">
        <f>IF(LEN(TRIM(F55))=0,"Approved","Comment to address")</f>
        <v/>
      </c>
      <c r="B55" s="12" t="inlineStr">
        <is>
          <t>Psalm 51</t>
        </is>
      </c>
      <c r="C55" s="12" t="inlineStr">
        <is>
          <t>repentance</t>
        </is>
      </c>
      <c r="D55" s="12" t="inlineStr">
        <is>
          <t>Scriptural</t>
        </is>
      </c>
      <c r="E55" s="13" t="inlineStr">
        <is>
          <t>לַמְנַצֵּחַ מִזְמוֹר לְדָוִד׃
בְּבוֹא־אֵלָיו נָתָן הַנָּבִיא כַּאֲשֶׁר־בָּא אֶל־בַּת־שָׁבַע׃
חָנֵּנִי אֱלֹהִים כְּחַסְדֶּךָ כְּרֹב רַחֲמֶיךָ מְחֵה פְשָׁעָי׃
הרבה [הֶרֶב] כַּבְּסֵנִי מֵעֲוֺנִי וּמֵחַטָּאתִי טַהֲרֵנִי׃
כִּי־פְשָׁעַי אֲנִי אֵדָע וְחַטָּאתִי נֶגְדִּי תָמִיד׃
לְךָ לְבַדְּךָ חָטָאתִי וְהָרַע בְּעֵינֶיךָ עָשִׂיתִי לְמַעַן תִּצְדַּק בְּדָבְרֶךָ תִּזְכֶּה בְשָׁפְטֶךָ׃
הֵן־בְּעָווֹן חוֹלָלְתִּי וּבְחֵטְא יֶחֱמַתְנִי אִמִּי׃
הֵן־אֱמֶת חָפַצְתָּ בַטֻּחוֹת וּבְסָתֻם חָכְמָה תוֹדִיעֵנִי׃
תְּחַטְּאֵנִי בְאֵזוֹב וְאֶטְהָר תְּכַבְּסֵנִי וּמִשֶּׁלֶג אַלְבִּין׃
תַּשְׁמִיעֵנִי שָׂשׂוֹן וְשִׂמְחָה תָּגֵלְנָה עֲצָמוֹת דִּכִּיתָ׃
הַסְתֵּר פָּנֶיךָ מֵחֲטָאָי וְכָל־עֲוֺנֹתַי מְחֵה׃
לֵב טָהוֹר בְּרָא־לִי אֱלֹהִים וְרוּחַ נָכוֹן חַדֵּשׁ בְּקִרְבִּי׃
אַל־תַּשְׁלִיכֵנִי מִלְּפָנֶיךָ וְרוּחַ קָדְשְׁךָ אַל־תִּקַּח מִמֶּנִּי׃
הָשִׁיבָה לִּי שְׂשׂוֹן יִשְׁעֶךָ וְרוּחַ נְדִיבָה תִסְמְכֵנִי׃
אֲלַמְּדָה פֹשְׁעִים דְּרָכֶיךָ וְחַטָּאִים אֵלֶיךָ יָשׁוּבוּ׃
הַצִּילֵנִי מִדָּמִים אֱ‍לֹהִים אֱלֹהֵי תְּשׁוּעָתִי תְּרַנֵּן לְשׁוֹנִי צִדְקָתֶךָ׃
אֲדֹנָי שְׂפָתַי תִּפְתָּח וּפִי יַגִּיד תְּהִלָּתֶךָ׃
כִּי לֹא־תַחְפֹּץ זֶבַח וְאֶתֵּנָה עוֹלָה לֹא תִרְצֶה׃
זִבְחֵי אֱלֹהִים רוּחַ נִשְׁבָּרָה לֵב־נִשְׁבָּר וְנִדְכֶּה אֱלֹהִים לֹא תִבְזֶה׃
הֵיטִיבָה בִרְצוֹנְךָ אֶת־צִיּוֹן תִּבְנֶה חוֹמוֹת יְרוּשָׁלִָם׃
אָז תַּחְפֹּץ זִבְחֵי־צֶדֶק עוֹלָה וְכָלִיל אָז יַעֲלוּ עַל־מִזְבַּחֲךָ פָרִים׃</t>
        </is>
      </c>
      <c r="F55" s="10" t="inlineStr"/>
      <c r="G55" s="14" t="inlineStr">
        <is>
          <t>Psalms 51</t>
        </is>
      </c>
      <c r="H55" s="12" t="inlineStr">
        <is>
          <t>Tanach with Nikkud — Public Domain</t>
        </is>
      </c>
      <c r="I55" s="12" t="inlineStr">
        <is>
          <t>sefaria-psalms-51</t>
        </is>
      </c>
    </row>
    <row r="56" ht="267" customHeight="1">
      <c r="A56" s="7">
        <f>IF(LEN(TRIM(F56))=0,"Approved","Comment to address")</f>
        <v/>
      </c>
      <c r="B56" s="8" t="inlineStr">
        <is>
          <t>Psalm 52</t>
        </is>
      </c>
      <c r="C56" s="8" t="inlineStr">
        <is>
          <t>source</t>
        </is>
      </c>
      <c r="D56" s="8" t="inlineStr">
        <is>
          <t>Scriptural</t>
        </is>
      </c>
      <c r="E56" s="9" t="inlineStr">
        <is>
          <t>לַמְנַצֵּחַ מַשְׂכִּיל לְדָוִד׃
בְּבוֹא דּוֹאֵג הָאֲדֹמִי וַיַּגֵּד לְשָׁאוּל וַיֹּאמֶר לוֹ בָּא דָוִד אֶל־בֵּית אֲחִימֶלֶךְ׃
מַה־תִּתְהַלֵּל בְּרָעָה הַגִּבּוֹר חֶסֶד אֵל כָּל־הַיּוֹם׃
הַוּוֹת תַּחְשֹׁב לְשׁוֹנֶךָ כְּתַעַר מְלֻטָּשׁ עֹשֵׂה רְמִיָּה׃
אָהַבְתָּ רָּע מִטּוֹב שֶׁקֶר מִדַּבֵּר צֶדֶק סֶלָה׃
אָהַבְתָּ כָל־דִּבְרֵי־בָלַע לְשׁוֹן מִרְמָה׃
גַּם־אֵל יִתָּצְךָ לָנֶצַח יַחְתְּךָ וְיִסָּחֲךָ מֵאֹהֶל וְשֵׁרֶשְׁךָ מֵאֶרֶץ חַיִּים סֶלָה׃
וְיִרְאוּ צַדִּיקִים וְיִירָאוּ וְעָלָיו יִשְׂחָקוּ׃
הִנֵּה הַגֶּבֶר לֹא יָשִׂים אֱלֹהִים מָעוּזּוֹ וַיִּבְטַח בְּרֹב עָשְׁרוֹ יָעֹז בְּהַוָּתוֹ׃
וַאֲנִי כְּזַיִת רַעֲנָן בְּבֵית אֱלֹהִים בָּטַחְתִּי בְחֶסֶד־אֱלֹהִים עוֹלָם וָעֶד׃
אוֹדְךָ לְעוֹלָם כִּי עָשִׂיתָ וַאֲקַוֶּה שִׁמְךָ כִי־טוֹב נֶגֶד חֲסִידֶיךָ׃</t>
        </is>
      </c>
      <c r="F56" s="10" t="inlineStr"/>
      <c r="G56" s="11" t="inlineStr">
        <is>
          <t>Psalms 52</t>
        </is>
      </c>
      <c r="H56" s="8" t="inlineStr">
        <is>
          <t>Tanach with Nikkud — Public Domain</t>
        </is>
      </c>
      <c r="I56" s="8" t="inlineStr">
        <is>
          <t>sefaria-psalms-52</t>
        </is>
      </c>
    </row>
    <row r="57" ht="199" customHeight="1">
      <c r="A57" s="7">
        <f>IF(LEN(TRIM(F57))=0,"Approved","Comment to address")</f>
        <v/>
      </c>
      <c r="B57" s="12" t="inlineStr">
        <is>
          <t>Psalm 53</t>
        </is>
      </c>
      <c r="C57" s="12" t="inlineStr">
        <is>
          <t>source</t>
        </is>
      </c>
      <c r="D57" s="12" t="inlineStr">
        <is>
          <t>Scriptural</t>
        </is>
      </c>
      <c r="E57" s="13" t="inlineStr">
        <is>
          <t>לַמְנַצֵּחַ עַל־מָחֲלַת מַשְׂכִּיל לְדָוִד׃
אָמַר נָבָל בְּלִבּוֹ אֵין אֱלֹהִים הִשְׁחִיתוּ וְהִתְעִיבוּ עָוֶל אֵין עֹשֵׂה־טוֹב׃
אֱ‍לֹהִים מִשָּׁמַיִם הִשְׁקִיף עַל־בְּנֵי אָדָם לִרְאוֹת הֲיֵשׁ מַשְׂכִּיל דֹּרֵשׁ אֶת־אֱלֹהִים׃
כֻּלּוֹ סָג יַחְדָּו נֶאֱלָחוּ אֵין עֹשֵׂה־טוֹב אֵין גַּם־אֶחָד׃
הֲלֹא יָדְעוּ פֹּעֲלֵי אָוֶן אֹכְלֵי עַמִּי אָכְלוּ לֶחֶם אֱלֹהִים לֹא קָרָאוּ׃
שָׁם פָּחֲדוּ־פַחַד לֹא־הָיָה פָחַד כִּי־אֱלֹהִים פִּזַּר עַצְמוֹת חֹנָךְ הֱבִשֹׁתָה כִּי־אֱלֹהִים מְאָסָם׃
מִי יִתֵּן מִצִּיּוֹן יְשֻׁעוֹת יִשְׂרָאֵל בְּשׁוּב אֱלֹהִים שְׁבוּת עַמּוֹ יָגֵל יַעֲקֹב יִשְׂמַח יִשְׂרָאֵל׃</t>
        </is>
      </c>
      <c r="F57" s="10" t="inlineStr"/>
      <c r="G57" s="14" t="inlineStr">
        <is>
          <t>Psalms 53</t>
        </is>
      </c>
      <c r="H57" s="12" t="inlineStr">
        <is>
          <t>Tanach with Nikkud — Public Domain</t>
        </is>
      </c>
      <c r="I57" s="12" t="inlineStr">
        <is>
          <t>sefaria-psalms-53</t>
        </is>
      </c>
    </row>
    <row r="58" ht="182" customHeight="1">
      <c r="A58" s="7">
        <f>IF(LEN(TRIM(F58))=0,"Approved","Comment to address")</f>
        <v/>
      </c>
      <c r="B58" s="8" t="inlineStr">
        <is>
          <t>Psalm 54</t>
        </is>
      </c>
      <c r="C58" s="8" t="inlineStr">
        <is>
          <t>protection</t>
        </is>
      </c>
      <c r="D58" s="8" t="inlineStr">
        <is>
          <t>Scriptural</t>
        </is>
      </c>
      <c r="E58" s="9" t="inlineStr">
        <is>
          <t>לַמְנַצֵּחַ בִּנְגִינֹת מַשְׂכִּיל לְדָוִד׃
בְּבוֹא הַזִּיפִים וַיֹּאמְרוּ לְשָׁאוּל הֲלֹא דָוִד מִסְתַּתֵּר עִמָּנוּ׃
אֱלֹהִים בְּשִׁמְךָ הוֹשִׁיעֵנִי וּבִגְבוּרָתְךָ תְדִינֵנִי׃
אֱלֹהִים שְׁמַע תְּפִלָּתִי הַאֲזִינָה לְאִמְרֵי־פִי׃
כִּי זָרִים קָמוּ עָלַי וְעָרִיצִים בִּקְשׁוּ נַפְשִׁי לֹא שָׂמוּ אֱלֹהִים לְנֶגְדָּם סֶלָה׃
הִנֵּה אֱלֹהִים עֹזֵר לִי אֲדֹנָי בְּסֹמְכֵי נַפְשִׁי׃
ישוב [יָשִׁיב] הָרַע לְשֹׁרְרָי בַּאֲמִתְּךָ הַצְמִיתֵם׃
בִּנְדָבָה אֶזְבְּחָה־לָּךְ אוֹדֶה שִּׁמְךָ יְהוָה כִּי־טוֹב׃
כִּי מִכָּל־צָרָה הִצִּילָנִי וּבְאֹיְבַי רָאֲתָה עֵינִי׃</t>
        </is>
      </c>
      <c r="F58" s="10" t="inlineStr"/>
      <c r="G58" s="11" t="inlineStr">
        <is>
          <t>Psalms 54</t>
        </is>
      </c>
      <c r="H58" s="8" t="inlineStr">
        <is>
          <t>Tanach with Nikkud — Public Domain</t>
        </is>
      </c>
      <c r="I58" s="8" t="inlineStr">
        <is>
          <t>sefaria-psalms-54</t>
        </is>
      </c>
    </row>
    <row r="59" ht="409" customHeight="1">
      <c r="A59" s="7">
        <f>IF(LEN(TRIM(F59))=0,"Approved","Comment to address")</f>
        <v/>
      </c>
      <c r="B59" s="12" t="inlineStr">
        <is>
          <t>Psalm 55</t>
        </is>
      </c>
      <c r="C59" s="12" t="inlineStr">
        <is>
          <t>health</t>
        </is>
      </c>
      <c r="D59" s="12" t="inlineStr">
        <is>
          <t>Scriptural</t>
        </is>
      </c>
      <c r="E59" s="13" t="inlineStr">
        <is>
          <t>לַמְנַצֵּחַ בִּנְגִינֹת מַשְׂכִּיל לְדָוִד׃
הַאֲזִינָה אֱלֹהִים תְּפִלָּתִי וְאַל־תִּתְעַלַּם מִתְּחִנָּתִי׃
הַקְשִׁיבָה לִּי וַעֲנֵנִי אָרִיד בְּשִׂיחִי וְאָהִימָה׃
מִקּוֹל אוֹיֵב מִפְּנֵי עָקַת רָשָׁע כִּי־יָמִיטוּ עָלַי אָוֶן וּבְאַף יִשְׂטְמוּנִי׃
לִבִּי יָחִיל בְּקִרְבִּי וְאֵימוֹת מָוֶת נָפְלוּ עָלָי׃
יִרְאָה וָרַעַד יָבֹא בִי וַתְּכַסֵּנִי פַּלָּצוּת׃
וָאֹמַר מִי־יִתֶּן־לִּי אֵבֶר כַּיּוֹנָה אָעוּפָה וְאֶשְׁכֹּנָה׃
הִנֵּה אַרְחִיק נְדֹד אָלִין בַּמִּדְבָּר סֶלָה׃
אָחִישָׁה מִפְלָט לִי מֵרוּחַ סֹעָה מִסָּעַר׃
בַּלַּע אֲדֹנָי פַּלַּג לְשׁוֹנָם כִּי־רָאִיתִי חָמָס וְרִיב בָּעִיר׃
יוֹמָם וָלַיְלָה יְסוֹבְבֻהָ עַל־חוֹמֹתֶיהָ וְאָוֶן וְעָמָל בְּקִרְבָּהּ׃
הַוּוֹת בְּקִרְבָּהּ וְלֹא־יָמִישׁ מֵרְחֹבָהּ תֹּךְ וּמִרְמָה׃
כִּי לֹא־אוֹיֵב יְחָרְפֵנִי וְאֶשָּׂא לֹא־מְשַׂנְאִי עָלַי הִגְדִּיל וְאֶסָּתֵר מִמֶּנּוּ׃
וְאַתָּה אֱנוֹשׁ כְּעֶרְכִּי אַלּוּפִי וּמְיֻדָּעִי׃
אֲשֶׁר יַחְדָּו נַמְתִּיק סוֹד בְּבֵית אֱלֹהִים נְהַלֵּךְ בְּרָגֶשׁ׃
ישימות [יַשִּׁי] [מָוֶת ] עָלֵימוֹ יֵרְדוּ שְׁאוֹל חַיִּים כִּי־רָעוֹת בִּמְגוּרָם בְּקִרְבָּם׃
אֲנִי אֶל־אֱלֹהִים אֶקְרָא וַיהוָה יוֹשִׁיעֵנִי׃
עֶרֶב וָבֹקֶר וְצָהֳרַיִם אָשִׂיחָה וְאֶהֱמֶה וַיִּשְׁמַע קוֹלִי׃
פָּדָה בְשָׁלוֹם נַפְשִׁי מִקֲּרָב־לִי כִּי־בְרַבִּים הָיוּ עִמָּדִי׃
יִשְׁמַע אֵל וְיַעֲנֵם וְיֹשֵׁב קֶדֶם סֶלָה אֲשֶׁר אֵין חֲלִיפוֹת לָמוֹ וְלֹא יָרְאוּ אֱלֹהִים׃
שָׁלַח יָדָיו בִּשְׁלֹמָיו חִלֵּל בְּרִיתוֹ׃
חָלְקוּ מַחְמָאֹת פִּיו וּקֲרָב־לִבּוֹ רַכּוּ דְבָרָיו מִשֶּׁמֶן וְהֵמָּה פְתִחוֹת׃
הַשְׁלֵךְ עַל־יְהוָה יְהָבְךָ וְהוּא יְכַלְכְּלֶךָ לֹא־יִתֵּן לְעוֹלָם מוֹט לַצַּדִּיק׃
וְאַתָּה אֱלֹהִים תּוֹרִדֵם לִבְאֵר שַׁחַת אַנְשֵׁי דָמִים וּמִרְמָה לֹא־יֶחֱצוּ יְמֵיהֶם וַאֲנִי אֶבְטַח־בָּךְ׃</t>
        </is>
      </c>
      <c r="F59" s="10" t="inlineStr"/>
      <c r="G59" s="14" t="inlineStr">
        <is>
          <t>Psalms 55</t>
        </is>
      </c>
      <c r="H59" s="12" t="inlineStr">
        <is>
          <t>Tanach with Nikkud — Public Domain</t>
        </is>
      </c>
      <c r="I59" s="12" t="inlineStr">
        <is>
          <t>sefaria-psalms-55</t>
        </is>
      </c>
    </row>
    <row r="60" ht="318" customHeight="1">
      <c r="A60" s="7">
        <f>IF(LEN(TRIM(F60))=0,"Approved","Comment to address")</f>
        <v/>
      </c>
      <c r="B60" s="8" t="inlineStr">
        <is>
          <t>Psalm 56</t>
        </is>
      </c>
      <c r="C60" s="8" t="inlineStr">
        <is>
          <t>protection</t>
        </is>
      </c>
      <c r="D60" s="8" t="inlineStr">
        <is>
          <t>Scriptural</t>
        </is>
      </c>
      <c r="E60" s="9" t="inlineStr">
        <is>
          <t>לַמְנַצֵּחַ עַל־יוֹנַת אֵלֶם רְחֹקִים לְדָוִד מִכְתָּם בֶּאֱחֹז אֹתוֹ פְלִשְׁתִּים בְּגַת׃
חָנֵּנִי אֱלֹהִים כִּי־שְׁאָפַנִי אֱנוֹשׁ כָּל־הַיּוֹם לֹחֵם יִלְחָצֵנִי׃
שָׁאֲפוּ שׁוֹרְרַי כָּל־הַיּוֹם כִּי־רַבִּים לֹחֲמִים לִי מָרוֹם׃
יוֹם אִירָא אֲנִי אֵלֶיךָ אֶבְטָח׃
בֵּאלֹהִים אֲהַלֵּל דְּבָרוֹ בֵּאלֹהִים בָּטַחְתִּי לֹא אִירָא מַה־יַּעֲשֶׂה בָשָׂר לִי׃
כָּל־הַיּוֹם דְּבָרַי יְעַצֵּבוּ עָלַי כָּל־מַחְשְׁבֹתָם לָרָע׃
יָגוּרוּ יצפינו [יִצְפּוֹנוּ] הֵמָּה עֲקֵבַי יִשְׁמֹרוּ כַּאֲשֶׁר קִוּוּ נַפְשִׁי׃
עַל־אָוֶן פַּלֶּט־לָמוֹ בְּאַף עַמִּים הוֹרֵד אֱלֹהִים׃
נֹדִי סָפַרְתָּה אָתָּה שִׂימָה דִמְעָתִי בְנֹאדֶךָ הֲלֹא בְּסִפְרָתֶךָ׃
אָז יָשׁוּבוּ אוֹיְבַי אָחוֹר בְּיוֹם אֶקְרָא זֶה־יָדַעְתִּי כִּי־אֱלֹהִים לִי׃
בֵּאלֹהִים אֲהַלֵּל דָּבָר בַּיהוָה אֲהַלֵּל דָּבָר׃
בֵּאלֹהִים בָּטַחְתִּי לֹא אִירָא מַה־יַּעֲשֶׂה אָדָם לִי׃
עָלַי אֱלֹהִים נְדָרֶיךָ אֲשַׁלֵּם תּוֹדֹת לָךְ׃
כִּי הִצַּלְתָּ נַפְשִׁי מִמָּוֶת הֲלֹא רַגְלַי מִדֶּחִי לְהִתְהַלֵּךְ לִפְנֵי אֱלֹהִים בְּאוֹר הַחַיִּים׃</t>
        </is>
      </c>
      <c r="F60" s="10" t="inlineStr"/>
      <c r="G60" s="11" t="inlineStr">
        <is>
          <t>Psalms 56</t>
        </is>
      </c>
      <c r="H60" s="8" t="inlineStr">
        <is>
          <t>Tanach with Nikkud — Public Domain</t>
        </is>
      </c>
      <c r="I60" s="8" t="inlineStr">
        <is>
          <t>sefaria-psalms-56</t>
        </is>
      </c>
    </row>
    <row r="61" ht="301" customHeight="1">
      <c r="A61" s="7">
        <f>IF(LEN(TRIM(F61))=0,"Approved","Comment to address")</f>
        <v/>
      </c>
      <c r="B61" s="12" t="inlineStr">
        <is>
          <t>Psalm 57</t>
        </is>
      </c>
      <c r="C61" s="12" t="inlineStr">
        <is>
          <t>protection</t>
        </is>
      </c>
      <c r="D61" s="12" t="inlineStr">
        <is>
          <t>Scriptural</t>
        </is>
      </c>
      <c r="E61" s="13" t="inlineStr">
        <is>
          <t>לַמְנַצֵּחַ אַל־תַּשְׁחֵת לְדָוִד מִכְתָּם בְּבָרְחוֹ מִפְּנֵי־שָׁאוּל בַּמְּעָרָה׃
חָנֵּנִי אֱלֹהִים חָנֵּנִי כִּי בְךָ חָסָיָה נַפְשִׁי וּבְצֵל־כְּנָפֶיךָ אֶחְסֶה עַד יַעֲבֹר הַוּוֹת׃
אֶקְרָא לֵאלֹהִים עֶלְיוֹן לָאֵל גֹּמֵר עָלָי׃
יִשְׁלַח מִשָּׁמַיִם וְיוֹשִׁיעֵנִי חֵרֵף שֹׁאֲפִי סֶלָה יִשְׁלַח אֱלֹהִים חַסְדּוֹ וַאֲמִתּוֹ׃
נַפְשִׁי בְּתוֹךְ לְבָאִם אֶשְׁכְּבָה לֹהֲטִים בְּנֵי־אָדָם שִׁנֵּיהֶם חֲנִית וְחִצִּים וּלְשׁוֹנָם חֶרֶב חַדָּה׃
רוּמָה עַל־הַשָּׁמַיִם אֱלֹהִים עַל כָּל־הָאָרֶץ כְּבוֹדֶךָ׃
רֶשֶׁת הֵכִינוּ לִפְעָמַי כָּפַף נַפְשִׁי כָּרוּ לְפָנַי שִׁיחָה נָפְלוּ בְתוֹכָהּ סֶלָה׃
נָכוֹן לִבִּי אֱלֹהִים נָכוֹן לִבִּי אָשִׁירָה וַאֲזַמֵּרָה׃
עוּרָה כְבוֹדִי עוּרָה הַנֵּבֶל וְכִנּוֹר אָעִירָה שָּׁחַר׃
אוֹדְךָ בָעַמִּים אֲדֹנָי אֲזַמֶּרְךָ בַּל־אֻמִּים׃
כִּי־גָדֹל עַד־שָׁמַיִם חַסְדֶּךָ וְעַד־שְׁחָקִים אֲמִתֶּךָ׃
רוּמָה עַל־שָׁמַיִם אֱלֹהִים עַל כָּל־הָאָרֶץ כְּבוֹדֶךָ׃</t>
        </is>
      </c>
      <c r="F61" s="10" t="inlineStr"/>
      <c r="G61" s="14" t="inlineStr">
        <is>
          <t>Psalms 57</t>
        </is>
      </c>
      <c r="H61" s="12" t="inlineStr">
        <is>
          <t>Tanach with Nikkud — Public Domain</t>
        </is>
      </c>
      <c r="I61" s="12" t="inlineStr">
        <is>
          <t>sefaria-psalms-57</t>
        </is>
      </c>
    </row>
    <row r="62" ht="233" customHeight="1">
      <c r="A62" s="7">
        <f>IF(LEN(TRIM(F62))=0,"Approved","Comment to address")</f>
        <v/>
      </c>
      <c r="B62" s="8" t="inlineStr">
        <is>
          <t>Psalm 58</t>
        </is>
      </c>
      <c r="C62" s="8" t="inlineStr">
        <is>
          <t>source</t>
        </is>
      </c>
      <c r="D62" s="8" t="inlineStr">
        <is>
          <t>Scriptural</t>
        </is>
      </c>
      <c r="E62" s="9" t="inlineStr">
        <is>
          <t>לַמְנַצֵּחַ אַל־תַּשְׁחֵת לְדָוִד מִכְתָּם׃
הַאֻמְנָם אֵלֶם צֶדֶק תְּדַבֵּרוּן מֵישָׁרִים תִּשְׁפְּטוּ בְּנֵי אָדָם׃
אַף־בְּלֵב עוֹלֹת תִּפְעָלוּן בָּאָרֶץ חֲמַס יְדֵיכֶם תְּפַלֵּסוּן׃
זֹרוּ רְשָׁעִים מֵרָחֶם תָּעוּ מִבֶּטֶן דֹּבְרֵי כָזָב׃
חֲמַת־לָמוֹ כִּדְמוּת חֲמַת־נָחָשׁ כְּמוֹ־פֶתֶן חֵרֵשׁ יַאְטֵם אָזְנוֹ׃
אֲשֶׁר לֹא־יִשְׁמַע לְקוֹל מְלַחֲשִׁים חוֹבֵר חֲבָרִים מְחֻכָּם׃
אֱ‍לֹהִים הֲרָס־שִׁנֵּימוֹ בְּפִימוֹ מַלְתְּעוֹת כְּפִירִים נְתֹץ יְהוָה׃
יִמָּאֲסוּ כְמוֹ־מַיִם יִתְהַלְּכוּ־לָמוֹ יִדְרֹךְ חצו [חִצָּיו] כְּמוֹ יִתְמֹלָלוּ׃
כְּמוֹ שַׁבְּלוּל תֶּמֶס יַהֲלֹךְ נֵפֶל אֵשֶׁת בַּל־חָזוּ שָׁמֶשׁ׃
בְּטֶרֶם יָבִינוּ סִּירֹתֵיכֶם אָטָד כְּמוֹ־חַי כְּמוֹ־חָרוֹן יִשְׂעָרֶנּוּ׃
יִשְׂמַח צַדִּיק כִּי־חָזָה נָקָם פְּעָמָיו יִרְחַץ בְּדַם הָרָשָׁע׃
וְיֹאמַר אָדָם אַךְ־פְּרִי לַצַּדִּיק אַךְ יֵשׁ־אֱלֹהִים שֹׁפְטִים בָּאָרֶץ׃</t>
        </is>
      </c>
      <c r="F62" s="10" t="inlineStr"/>
      <c r="G62" s="11" t="inlineStr">
        <is>
          <t>Psalms 58</t>
        </is>
      </c>
      <c r="H62" s="8" t="inlineStr">
        <is>
          <t>Tanach with Nikkud — Public Domain</t>
        </is>
      </c>
      <c r="I62" s="8" t="inlineStr">
        <is>
          <t>sefaria-psalms-58</t>
        </is>
      </c>
    </row>
    <row r="63" ht="409" customHeight="1">
      <c r="A63" s="7">
        <f>IF(LEN(TRIM(F63))=0,"Approved","Comment to address")</f>
        <v/>
      </c>
      <c r="B63" s="12" t="inlineStr">
        <is>
          <t>Psalm 59</t>
        </is>
      </c>
      <c r="C63" s="12" t="inlineStr">
        <is>
          <t>protection</t>
        </is>
      </c>
      <c r="D63" s="12" t="inlineStr">
        <is>
          <t>Scriptural</t>
        </is>
      </c>
      <c r="E63" s="13" t="inlineStr">
        <is>
          <t>לַמְנַצֵּחַ אַל־תַּשְׁחֵת לְדָוִד מִכְתָּם בִּשְׁלֹחַ שָׁאוּל וַיִּשְׁמְרוּ אֶת־הַבַּיִת לַהֲמִיתוֹ׃
הַצִּילֵנִי מֵאֹיְבַי אֱלֹהָי מִּמִתְקוֹמְמַי תְּשַׂגְּבֵנִי׃
הַצִּילֵנִי מִפֹּעֲלֵי אָוֶן וּמֵאַנְשֵׁי דָמִים הוֹשִׁיעֵנִי׃
כִּי הִנֵּה אָרְבוּ לְנַפְשִׁי יָגוּרוּ עָלַי עַזִים לֹא־פִשְׁעִי וְלֹא־חַטָּאתִי יְהוָה׃
בְּלִי־עָוֺן יְרוּצוּן וְיִכּוֹנָנוּ עוּרָה לִקְרָאתִי וּרְאֵה׃
וְאַתָּה יְהוָה־אֱלֹהִים צְבָאוֹת אֱלֹהֵי יִשְׂרָאֵל הָקִיצָה לִפְקֹד כָּל־הַגּוֹיִם אַל־תָּחֹן כָּל־בֹּגְדֵי אָוֶן סֶלָה׃
יָשׁוּבוּ לָעֶרֶב יֶהֱמוּ כַכָּלֶב וִיסוֹבְבוּ עִיר׃
הִנֵּה יַבִּיעוּן בְּפִיהֶם חֲרָבוֹת בְּשִׂפְתוֹתֵיהֶם כִּי־מִי שֹׁמֵעַ׃
וְאַתָּה יְהוָה תִּשְׂחַק־לָמוֹ תִּלְעַג לְכָל־גּוֹיִם׃
עֻזּוֹ אֵלֶיךָ אֶשְׁמֹרָה כִּי־אֱלֹהִים מִשְׂגַּבִּי׃
אֱלֹהֵי חסדו [חַסְדִּי] יְקַדְּמֵנִי אֱלֹהִים יַרְאֵנִי בְשֹׁרְרָי׃
אַל־תַּהַרְגֵם פֶּן־יִשְׁכְּחוּ עַמִּי הֲנִיעֵמוֹ בְחֵילְךָ וְהוֹרִידֵמוֹ מָגִנֵּנוּ אֲדֹנָי׃
חַטַּאת־פִּימוֹ דְּבַר־שְׂפָתֵימוֹ וְיִלָּכְדוּ בִגְאוֹנָם וּמֵאָלָה וּמִכַּחַשׁ יְסַפֵּרוּ׃
כַּלֵּה בְחֵמָה כַּלֵּה וְאֵינֵמוֹ וְיֵדְעוּ כִּי־אֱלֹהִים מֹשֵׁל בְּיַעֲקֹב לְאַפְסֵי הָאָרֶץ סֶלָה׃
וְיָשׁוּבוּ לָעֶרֶב יֶהֱמוּ כַכָּלֶב וִיסוֹבְבוּ עִיר׃
הֵמָּה ינועון [יְנִיעוּן] לֶאֱכֹל אִם־לֹא יִשְׂבְּעוּ וַיָּלִינוּ׃
וַאֲנִי אָשִׁיר עֻזֶּךָ וַאֲרַנֵּן לַבֹּקֶר חַסְדֶּךָ כִּי־הָיִיתָ מִשְׂגָּב לִי וּמָנוֹס בְּיוֹם צַר־לִי׃
עֻזִּי אֵלֶיךָ אֲזַמֵּרָה כִּי־אֱלֹהִים מִשְׂגַּבִּי אֱלֹהֵי חַסְדִּי׃</t>
        </is>
      </c>
      <c r="F63" s="10" t="inlineStr"/>
      <c r="G63" s="14" t="inlineStr">
        <is>
          <t>Psalms 59</t>
        </is>
      </c>
      <c r="H63" s="12" t="inlineStr">
        <is>
          <t>Tanach with Nikkud — Public Domain</t>
        </is>
      </c>
      <c r="I63" s="12" t="inlineStr">
        <is>
          <t>sefaria-psalms-59</t>
        </is>
      </c>
    </row>
    <row r="64" ht="284" customHeight="1">
      <c r="A64" s="7">
        <f>IF(LEN(TRIM(F64))=0,"Approved","Comment to address")</f>
        <v/>
      </c>
      <c r="B64" s="8" t="inlineStr">
        <is>
          <t>Psalm 60</t>
        </is>
      </c>
      <c r="C64" s="8" t="inlineStr">
        <is>
          <t>source</t>
        </is>
      </c>
      <c r="D64" s="8" t="inlineStr">
        <is>
          <t>Scriptural</t>
        </is>
      </c>
      <c r="E64" s="9" t="inlineStr">
        <is>
          <t>לַמְנַצֵּחַ עַל־שׁוּשַׁן עֵדוּת מִכְתָּם לְדָוִד לְלַמֵּד׃
בְּהַצּוֹתוֹ אֶת אֲרַם נַהֲרַיִם וְאֶת־אֲרַם צוֹבָה וַיָּשָׁב יוֹאָב וַיַּךְ אֶת־אֱדוֹם בְּגֵיא־מֶלַח שְׁנֵים עָשָׂר אָלֶף׃
אֱלֹהִים זְנַחְתָּנוּ פְרַצְתָּנוּ אָנַפְתָּ תְּשׁוֹבֵב לָנוּ׃
הִרְעַשְׁתָּה אֶרֶץ פְּצַמְתָּהּ רְפָה שְׁבָרֶיהָ כִי־מָטָה׃
הִרְאִיתָה עַמְּךָ קָשָׁה הִשְׁקִיתָנוּ יַיִן תַּרְעֵלָה׃
נָתַתָּה לִּירֵאֶיךָ נֵּס לְהִתְנוֹסֵס מִפְּנֵי קֹשֶׁט סֶלָה׃
לְמַעַן יֵחָלְצוּן יְדִידֶיךָ הוֹשִׁיעָה יְמִינְךָ ועננו [וַעֲנֵנִי׃]
אֱלֹהִים דִּבֶּר בְּקָדְשׁוֹ אֶעְלֹזָה אֲחַלְּקָה שְׁכֶם וְעֵמֶק סֻכּוֹת אֲמַדֵּד׃
לִי גִלְעָד וְלִי מְנַשֶּׁה וְאֶפְרַיִם מָעוֹז רֹאשִׁי יְהוּדָה מְחֹקְקִי׃
מוֹאָב סִיר רַחְצִי עַל־אֱדוֹם אַשְׁלִיךְ נַעֲלִי עָלַי פְּלֶשֶׁת הִתְרֹעָעִי׃
מִי יֹבִלֵנִי עִיר מָצוֹר מִי נָחַנִי עַד־אֱדוֹם׃
הֲלֹא־אַתָּה אֱלֹהִים זְנַחְתָּנוּ וְלֹא־תֵצֵא אֱלֹהִים בְּצִבְאוֹתֵינוּ׃
הָבָה־לָּנוּ עֶזְרָת מִצָּר וְשָׁוְא תְּשׁוּעַת אָדָם׃
בֵּאלֹהִים נַעֲשֶׂה־חָיִל וְהוּא יָבוּס צָרֵינוּ׃</t>
        </is>
      </c>
      <c r="F64" s="10" t="inlineStr"/>
      <c r="G64" s="11" t="inlineStr">
        <is>
          <t>Psalms 60</t>
        </is>
      </c>
      <c r="H64" s="8" t="inlineStr">
        <is>
          <t>Tanach with Nikkud — Public Domain</t>
        </is>
      </c>
      <c r="I64" s="8" t="inlineStr">
        <is>
          <t>sefaria-psalms-60</t>
        </is>
      </c>
    </row>
    <row r="65" ht="182" customHeight="1">
      <c r="A65" s="7">
        <f>IF(LEN(TRIM(F65))=0,"Approved","Comment to address")</f>
        <v/>
      </c>
      <c r="B65" s="12" t="inlineStr">
        <is>
          <t>Psalm 61</t>
        </is>
      </c>
      <c r="C65" s="12" t="inlineStr">
        <is>
          <t>protection</t>
        </is>
      </c>
      <c r="D65" s="12" t="inlineStr">
        <is>
          <t>Scriptural</t>
        </is>
      </c>
      <c r="E65" s="13" t="inlineStr">
        <is>
          <t>לַמְנַצֵּחַ עַל־נְגִינַת לְדָוִד׃
שִׁמְעָה אֱלֹהִים רִנָּתִי הַקְשִׁיבָה תְּפִלָּתִי׃
מִקְצֵה הָאָרֶץ אֵלֶיךָ אֶקְרָא בַּעֲטֹף לִבִּי בְּצוּר־יָרוּם מִמֶּנִּי תַנְחֵנִי׃
כִּי־הָיִיתָ מַחְסֶה לִי מִגְדַּל־עֹז מִפְּנֵי אוֹיֵב׃
אָגוּרָה בְאָהָלְךָ עוֹלָמִים אֶחֱסֶה בְסֵתֶר כְּנָפֶיךָ סֶּלָה׃
כִּי־אַתָּה אֱלֹהִים שָׁמַעְתָּ לִנְדָרָי נָתַתָּ יְרֻשַּׁת יִרְאֵי שְׁמֶךָ׃
יָמִים עַל־יְמֵי־מֶלֶךְ תּוֹסִיף שְׁנוֹתָיו כְּמוֹ־דֹר וָדֹר׃
יֵשֵׁב עוֹלָם לִפְנֵי אֱלֹהִים חֶסֶד וֶאֱמֶת מַן יִנְצְרֻהוּ׃
כֵּן אֲזַמְּרָה שִׁמְךָ לָעַד לְשַׁלְּמִי נְדָרַי יוֹם יוֹם׃</t>
        </is>
      </c>
      <c r="F65" s="10" t="inlineStr"/>
      <c r="G65" s="14" t="inlineStr">
        <is>
          <t>Psalms 61</t>
        </is>
      </c>
      <c r="H65" s="12" t="inlineStr">
        <is>
          <t>Tanach with Nikkud — Public Domain</t>
        </is>
      </c>
      <c r="I65" s="12" t="inlineStr">
        <is>
          <t>sefaria-psalms-61</t>
        </is>
      </c>
    </row>
    <row r="66" ht="318" customHeight="1">
      <c r="A66" s="7">
        <f>IF(LEN(TRIM(F66))=0,"Approved","Comment to address")</f>
        <v/>
      </c>
      <c r="B66" s="8" t="inlineStr">
        <is>
          <t>Psalm 62</t>
        </is>
      </c>
      <c r="C66" s="8" t="inlineStr">
        <is>
          <t>health</t>
        </is>
      </c>
      <c r="D66" s="8" t="inlineStr">
        <is>
          <t>Scriptural</t>
        </is>
      </c>
      <c r="E66" s="9" t="inlineStr">
        <is>
          <t>לַמְנַצֵּחַ עַל־יְדוּתוּן מִזְמוֹר לְדָוִד׃
אַךְ אֶל־אֱלֹהִים דּוּמִיָּה נַפְשִׁי מִמֶּנּוּ יְשׁוּעָתִי׃
אַךְ־הוּא צוּרִי וִישׁוּעָתִי מִשְׂגַּבִּי לֹא־אֶמּוֹט רַבָּה׃
עַד־אָנָה תְּהוֹתְתוּ עַל אִישׁ תְּרָצְּחוּ כֻלְּכֶם כְּקִיר נָטוּי גָּדֵר הַדְּחוּיָה׃
אַךְ מִשְּׂאֵתוֹ יָעֲצוּ לְהַדִּיחַ יִרְצוּ כָזָב בְּפִיו יְבָרֵכוּ וּבְקִרְבָּם יְקַלְלוּ־סֶלָה׃
אַךְ לֵאלֹהִים דּוֹמִּי נַפְשִׁי כִּי־מִמֶּנּוּ תִּקְוָתִי׃
אַךְ־הוּא צוּרִי וִישׁוּעָתִי מִשְׂגַּבִּי לֹא אֶמּוֹט׃
עַל־אֱלֹהִים יִשְׁעִי וּכְבוֹדִי צוּר־עֻזִּי מַחְסִי בֵּאלֹהִים׃
בִּטְחוּ בוֹ בְכָל־עֵת עָם שִׁפְכוּ־לְפָנָיו לְבַבְכֶם אֱלֹהִים מַחֲסֶה־לָּנוּ סֶלָה׃
אַךְ הֶבֶל בְּנֵי־אָדָם כָּזָב בְּנֵי אִישׁ בְּמֹאזְנַיִם לַעֲלוֹת הֵמָּה מֵהֶבֶל יָחַד׃
אַל־תִּבְטְחוּ בְעֹשֶׁק וּבְגָזֵל אַל־תֶּהְבָּלוּ חַיִל כִּי־יָנוּב אַל־תָּשִׁיתוּ לֵב׃
אַחַת דִּבֶּר אֱלֹהִים שְׁתַּיִם־זוּ שָׁמָעְתִּי כִּי עֹז לֵאלֹהִים׃
וּלְךָ־אֲדֹנָי חָסֶד כִּי־אַתָּה תְשַׁלֵּם לְאִישׁ כְּמַעֲשֵׂהוּ׃</t>
        </is>
      </c>
      <c r="F66" s="10" t="inlineStr"/>
      <c r="G66" s="11" t="inlineStr">
        <is>
          <t>Psalms 62</t>
        </is>
      </c>
      <c r="H66" s="8" t="inlineStr">
        <is>
          <t>Tanach with Nikkud — Public Domain</t>
        </is>
      </c>
      <c r="I66" s="8" t="inlineStr">
        <is>
          <t>sefaria-psalms-62</t>
        </is>
      </c>
    </row>
    <row r="67" ht="250" customHeight="1">
      <c r="A67" s="7">
        <f>IF(LEN(TRIM(F67))=0,"Approved","Comment to address")</f>
        <v/>
      </c>
      <c r="B67" s="12" t="inlineStr">
        <is>
          <t>Psalm 63</t>
        </is>
      </c>
      <c r="C67" s="12" t="inlineStr">
        <is>
          <t>sleep</t>
        </is>
      </c>
      <c r="D67" s="12" t="inlineStr">
        <is>
          <t>Scriptural</t>
        </is>
      </c>
      <c r="E67" s="13" t="inlineStr">
        <is>
          <t>מִזְמוֹר לְדָוִד בִּהְיוֹתוֹ בְּמִדְבַּר יְהוּדָה׃
אֱלֹהִים אֵלִי אַתָּה אֲ‍שַׁחֲרֶךָּ צָמְאָה לְךָ נַפְשִׁי כָּמַהּ לְךָ בְשָׂרִי בְּאֶרֶץ־צִיָּה וְעָיֵף בְּלִי־מָיִם׃
כֵּן בַּקֹּדֶשׁ חֲזִיתִיךָ לִרְאוֹת עֻזְּךָ וּכְבוֹדֶךָ׃
כִּי־טוֹב חַסְדְּךָ מֵחַיִּים שְׂפָתַי יְשַׁבְּחוּנְךָ׃
כֵּן אֲבָרֶכְךָ בְחַיָּי בְּשִׁמְךָ אֶשָּׂא כַפָּי׃
כְּמוֹ חֵלֶב וָדֶשֶׁן תִּשְׂבַּע נַפְשִׁי וְשִׂפְתֵי רְנָנוֹת יְהַלֶּל־פִּי׃
אִם־זְכַרְתִּיךָ עַל־יְצוּעָי בְּאַשְׁמֻרוֹת אֶהְגֶּה־בָּךְ׃
כִּי־הָיִיתָ עֶזְרָתָה לִּי וּבְצֵל כְּנָפֶיךָ אֲרַנֵּן׃
דָּבְקָה נַפְשִׁי אַחֲרֶיךָ בִּי תָּמְכָה יְמִינֶךָ׃
וְהֵמָּה לְשׁוֹאָה יְבַקְשׁוּ נַפְשִׁי יָבֹאוּ בְּתַחְתִּיּוֹת הָאָרֶץ׃
יַגִּירֻהוּ עַל־יְדֵי־חָרֶב מְנָת שֻׁעָלִים יִהְיוּ׃
וְהַמֶּלֶךְ יִשְׂמַח בֵּאלֹהִים יִתְהַלֵּל כָּל־הַנִּשְׁבָּע בּוֹ כִּי יִסָּכֵר פִּי דוֹבְרֵי־שָׁקֶר׃</t>
        </is>
      </c>
      <c r="F67" s="10" t="inlineStr"/>
      <c r="G67" s="14" t="inlineStr">
        <is>
          <t>Psalms 63</t>
        </is>
      </c>
      <c r="H67" s="12" t="inlineStr">
        <is>
          <t>Tanach with Nikkud — Public Domain</t>
        </is>
      </c>
      <c r="I67" s="12" t="inlineStr">
        <is>
          <t>sefaria-psalms-63</t>
        </is>
      </c>
    </row>
    <row r="68" ht="216" customHeight="1">
      <c r="A68" s="7">
        <f>IF(LEN(TRIM(F68))=0,"Approved","Comment to address")</f>
        <v/>
      </c>
      <c r="B68" s="8" t="inlineStr">
        <is>
          <t>Psalm 64</t>
        </is>
      </c>
      <c r="C68" s="8" t="inlineStr">
        <is>
          <t>protection</t>
        </is>
      </c>
      <c r="D68" s="8" t="inlineStr">
        <is>
          <t>Scriptural</t>
        </is>
      </c>
      <c r="E68" s="9" t="inlineStr">
        <is>
          <t>לַמְנַצֵּחַ מִזְמוֹר לְדָוִד׃
שְׁמַע־אֱלֹהִים קוֹלִי בְשִׂיחִי מִפַּחַד אוֹיֵב תִּצֹּר חַיָּי׃
תַּסְתִּירֵנִי מִסּוֹד מְרֵעִים מֵרִגְשַׁת פֹּעֲלֵי אָוֶן׃
אֲשֶׁר שָׁנְנוּ כַחֶרֶב לְשׁוֹנָם דָּרְכוּ חִצָּם דָּבָר מָר׃
לִירוֹת בַּמִּסְתָּרִים תָּם פִּתְאֹם יֹרֻהוּ וְלֹא יִירָאוּ׃
יְחַזְּקוּ־לָמוֹ דָּבָר רָע יְסַפְּרוּ לִטְמוֹן מוֹקְשִׁים אָמְרוּ מִי יִרְאֶה־לָּמוֹ׃
יַחְפְּשׂוּ־עוֹלֹת תַּמְנוּ חֵפֶשׂ מְחֻפָּשׂ וְקֶרֶב אִישׁ וְלֵב עָמֹק׃
וַיֹּרֵם אֱלֹהִים חֵץ פִּתְאוֹם הָיוּ מַכּוֹתָם׃
וַיַּכְשִׁילוּהוּ עָלֵימוֹ לְשׁוֹנָם יִתְנֹדֲדוּ כָּל־רֹאֵה בָם׃
וַיִּירְאוּ כָּל־אָדָם וַיַּגִּידוּ פֹּעַל אֱלֹהִים וּמַעֲשֵׂהוּ הִשְׂכִּילוּ׃
יִשְׂמַח צַדִּיק בַּיהוָה וְחָסָה בוֹ וְיִתְהַלְלוּ כָּל־יִשְׁרֵי־לֵב׃</t>
        </is>
      </c>
      <c r="F68" s="10" t="inlineStr"/>
      <c r="G68" s="11" t="inlineStr">
        <is>
          <t>Psalms 64</t>
        </is>
      </c>
      <c r="H68" s="8" t="inlineStr">
        <is>
          <t>Tanach with Nikkud — Public Domain</t>
        </is>
      </c>
      <c r="I68" s="8" t="inlineStr">
        <is>
          <t>sefaria-psalms-64</t>
        </is>
      </c>
    </row>
    <row r="69" ht="318" customHeight="1">
      <c r="A69" s="7">
        <f>IF(LEN(TRIM(F69))=0,"Approved","Comment to address")</f>
        <v/>
      </c>
      <c r="B69" s="12" t="inlineStr">
        <is>
          <t>Psalm 65</t>
        </is>
      </c>
      <c r="C69" s="12" t="inlineStr">
        <is>
          <t>repentance</t>
        </is>
      </c>
      <c r="D69" s="12" t="inlineStr">
        <is>
          <t>Scriptural</t>
        </is>
      </c>
      <c r="E69" s="13" t="inlineStr">
        <is>
          <t>לַמְנַצֵּחַ מִזְמוֹר לְדָוִד שִׁיר׃
לְךָ דֻמִיָּה תְהִלָּה אֱלֹהִים בְּצִיּוֹן וּלְךָ יְשֻׁלַּם־נֶדֶר׃
שֹׁמֵעַ תְּפִלָּה עָדֶיךָ כָּל־בָּשָׂר יָבֹאוּ׃
דִּבְרֵי עֲוֺנֹת גָּבְרוּ מֶנִּי פְּשָׁעֵינוּ אַתָּה תְכַפְּרֵם׃
אַשְׁרֵי תִּבְחַר וּתְקָרֵב יִשְׁכֹּן חֲצֵרֶיךָ נִשְׂבְּעָה בְּטוּב בֵּיתֶךָ קְדֹשׁ הֵיכָלֶךָ׃
נוֹרָאוֹת בְּצֶדֶק תַּעֲנֵנוּ אֱלֹהֵי יִשְׁעֵנוּ מִבְטָח כָּל־קַצְוֵי־אֶרֶץ וְיָם רְחֹקִים׃
מֵכִין הָרִים בְּכֹחוֹ נֶאְזָר בִּגְבוּרָה׃
מַשְׁבִּיחַ שְׁאוֹן יַמִּים שְׁאוֹן גַּלֵּיהֶם וַהֲמוֹן לְאֻמִּים׃
וַיִּירְאוּ יֹשְׁבֵי קְצָוֺת מֵאוֹתֹתֶיךָ מוֹצָאֵי־בֹקֶר וָעֶרֶב תַּרְנִין׃
פָּקַדְתָּ הָאָרֶץ וַתְּשֹׁקְקֶהָ רַבַּת תַּעְשְׁרֶנָּה פֶּלֶג אֱלֹהִים מָלֵא מָיִם תָּכִין דְּגָנָם כִּי־כֵן תְּכִינֶהָ׃
תְּלָמֶיהָ רַוֵּה נַחֵת גְּדוּדֶיהָ בִּרְבִיבִים תְּמֹגְגֶנָּה צִמְחָהּ תְּבָרֵךְ׃
עִטַּרְתָּ שְׁנַת טוֹבָתֶךָ וּמַעְגָּלֶיךָ יִרְעֲפוּן דָּשֶׁן׃
יִרְעֲפוּ נְאוֹת מִדְבָּר וְגִיל גְּבָעוֹת תַּחְגֹּרְנָה׃
לָבְשׁוּ כָרִים הַצֹּאן וַעֲמָקִים יַעַטְפוּ־בָר יִתְרוֹעֲעוּ אַף־יָשִׁירוּ׃</t>
        </is>
      </c>
      <c r="F69" s="10" t="inlineStr"/>
      <c r="G69" s="14" t="inlineStr">
        <is>
          <t>Psalms 65</t>
        </is>
      </c>
      <c r="H69" s="12" t="inlineStr">
        <is>
          <t>Tanach with Nikkud — Public Domain</t>
        </is>
      </c>
      <c r="I69" s="12" t="inlineStr">
        <is>
          <t>sefaria-psalms-65</t>
        </is>
      </c>
    </row>
    <row r="70" ht="409" customHeight="1">
      <c r="A70" s="7">
        <f>IF(LEN(TRIM(F70))=0,"Approved","Comment to address")</f>
        <v/>
      </c>
      <c r="B70" s="8" t="inlineStr">
        <is>
          <t>Psalm 66</t>
        </is>
      </c>
      <c r="C70" s="8" t="inlineStr">
        <is>
          <t>thanks</t>
        </is>
      </c>
      <c r="D70" s="8" t="inlineStr">
        <is>
          <t>Scriptural</t>
        </is>
      </c>
      <c r="E70" s="9" t="inlineStr">
        <is>
          <t>לַמְנַצֵּחַ שִׁיר מִזְמוֹר הָרִיעוּ לֵאלֹהִים כָּל־הָאָרֶץ׃
זַמְּרוּ כְבוֹד־שְׁמוֹ שִׂימוּ כָבוֹד תְּהִלָּתוֹ׃
אִמְרוּ לֵאלֹהִים מַה־נּוֹרָא מַעֲשֶׂיךָ בְּרֹב עֻזְּךָ יְכַחֲשׁוּ לְךָ אֹיְבֶיךָ׃
כָּל־הָאָרֶץ יִשְׁתַּחֲווּ לְךָ וִיזַמְּרוּ־לָךְ יְזַמְּרוּ שִׁמְךָ סֶלָה׃
לְכוּ וּרְאוּ מִפְעֲלוֹת אֱלֹהִים נוֹרָא עֲלִילָה עַל־בְּנֵי אָדָם׃
הָפַךְ יָם לְיַבָּשָׁה בַּנָּהָר יַעַבְרוּ בְרָגֶל שָׁם נִשְׂמְחָה־בּוֹ׃
מֹשֵׁל בִּגְבוּרָתוֹ עוֹלָם עֵינָיו בַּגּוֹיִם תִּצְפֶּינָה הַסּוֹרְרִים אַל־ירימו [יָרוּמוּ] לָמוֹ סֶלָה׃
בָּרְכוּ עַמִּים אֱלֹהֵינוּ וְהַשְׁמִיעוּ קוֹל תְּהִלָּתוֹ׃
הַשָּׂם נַפְשֵׁנוּ בַּחַיִּים וְלֹא־נָתַן לַמּוֹט רַגְלֵנוּ׃
כִּי־בְחַנְתָּנוּ אֱלֹהִים צְרַפְתָּנוּ כִּצְרָף־כָּסֶף׃
הֲבֵאתָנוּ בַמְּצוּדָה שַׂמְתָּ מוּעָקָה בְמָתְנֵינוּ׃
הִרְכַּבְתָּ אֱנוֹשׁ לְרֹאשֵׁנוּ בָּאנוּ־בָאֵשׁ וּבַמַּיִם וַתּוֹצִיאֵנוּ לָרְוָיָה׃
אָבוֹא בֵיתְךָ בְעוֹלוֹת אֲשַׁלֵּם לְךָ נְדָרָי׃
אֲשֶׁר־פָּצוּ שְׂפָתָי וְדִבֶּר־פִּי בַּצַּר־לִי׃
עֹלוֹת מֵחִים אַעֲלֶה־לָּךְ עִם־קְטֹרֶת אֵילִים אֶעֱשֶׂה בָקָר עִם־עַתּוּדִים סֶלָה׃
לְכוּ־שִׁמְעוּ וַאֲסַפְּרָה כָּל־יִרְאֵי אֱלֹהִים אֲשֶׁר עָשָׂה לְנַפְשִׁי׃
אֵלָיו פִּי־קָרָאתִי וְרוֹמַם תַּחַת לְשׁוֹנִי׃
אָוֶן אִם־רָאִיתִי בְלִבִּי לֹא יִשְׁמַע אֲדֹנָי׃
אָכֵן שָׁמַע אֱלֹהִים הִקְשִׁיב בְּקוֹל תְּפִלָּתִי׃
בָּרוּךְ אֱלֹהִים אֲשֶׁר לֹא־הֵסִיר תְּפִלָּתִי וְחַסְדּוֹ מֵאִתִּי׃</t>
        </is>
      </c>
      <c r="F70" s="10" t="inlineStr"/>
      <c r="G70" s="11" t="inlineStr">
        <is>
          <t>Psalms 66</t>
        </is>
      </c>
      <c r="H70" s="8" t="inlineStr">
        <is>
          <t>Tanach with Nikkud — Public Domain</t>
        </is>
      </c>
      <c r="I70" s="8" t="inlineStr">
        <is>
          <t>sefaria-psalms-66</t>
        </is>
      </c>
    </row>
    <row r="71" ht="165" customHeight="1">
      <c r="A71" s="7">
        <f>IF(LEN(TRIM(F71))=0,"Approved","Comment to address")</f>
        <v/>
      </c>
      <c r="B71" s="12" t="inlineStr">
        <is>
          <t>Psalm 67</t>
        </is>
      </c>
      <c r="C71" s="12" t="inlineStr">
        <is>
          <t>success</t>
        </is>
      </c>
      <c r="D71" s="12" t="inlineStr">
        <is>
          <t>Scriptural</t>
        </is>
      </c>
      <c r="E71" s="13" t="inlineStr">
        <is>
          <t>לַמְנַצֵּח בִּנְגִינֹת מִזְמוֹר שִׁיר׃
אֱלֹהִים יְחָנֵּנוּ וִיבָרְכֵנוּ יָאֵר פָּנָיו אִתָּנוּ סֶלָה׃
לָדַעַת בָּאָרֶץ דַּרְכֶּךָ בְּכָל־גּוֹיִם יְשׁוּעָתֶךָ׃
יוֹדוּךָ עַמִּים אֱלֹהִים יוֹדוּךָ עַמִּים כֻּלָּם׃
יִשְׂמְחוּ וִירַנְּנוּ לְאֻמִּים כִּי־תִשְׁפֹּט עַמִּים מִישׁוֹר וּלְאֻמִּים בָּאָרֶץ תַּנְחֵם סֶלָה׃
יוֹדוּךָ עַמִּים אֱלֹהִים יוֹדוּךָ עַמִּים כֻּלָּם׃
אֶרֶץ נָתְנָה יְבוּלָהּ יְבָרְכֵנוּ אֱלֹהִים אֱלֹהֵינוּ׃
יְבָרְכֵנוּ אֱלֹהִים וְיִירְאוּ אֹתוֹ כָּל־אַפְסֵי־אָרֶץ׃</t>
        </is>
      </c>
      <c r="F71" s="10" t="inlineStr"/>
      <c r="G71" s="14" t="inlineStr">
        <is>
          <t>Psalms 67</t>
        </is>
      </c>
      <c r="H71" s="12" t="inlineStr">
        <is>
          <t>Tanach with Nikkud — Public Domain</t>
        </is>
      </c>
      <c r="I71" s="12" t="inlineStr">
        <is>
          <t>sefaria-psalms-67</t>
        </is>
      </c>
    </row>
    <row r="72" ht="409" customHeight="1">
      <c r="A72" s="7">
        <f>IF(LEN(TRIM(F72))=0,"Approved","Comment to address")</f>
        <v/>
      </c>
      <c r="B72" s="8" t="inlineStr">
        <is>
          <t>Psalm 68</t>
        </is>
      </c>
      <c r="C72" s="8" t="inlineStr">
        <is>
          <t>source</t>
        </is>
      </c>
      <c r="D72" s="8" t="inlineStr">
        <is>
          <t>Scriptural</t>
        </is>
      </c>
      <c r="E72" s="9" t="inlineStr">
        <is>
          <t>לַמְנַצֵּחַ לְדָוִד מִזְמוֹר שִׁיר׃
יָקוּם אֱלֹהִים יָפוּצוּ אוֹיְבָיו וְיָנוּסוּ מְשַׂנְאָיו מִפָּנָיו׃
כְּהִנְדֹּף עָשָׁן תִּנְדֹּף כְּהִמֵּס דּוֹנַג מִפְּנֵי־אֵשׁ יֹאבְדוּ רְשָׁעִים מִפְּנֵי אֱלֹהִים׃
וְצַדִּיקִים יִשְׂמְחוּ יַעַלְצוּ לִפְנֵי אֱלֹהִים וְיָשִׂישׂוּ בְשִׂמְחָה׃
שִׁירוּ לֵאלֹהִים זַמְּרוּ שְׁמוֹ סֹלּוּ לָרֹכֵב בָּעֲרָבוֹת בְּיָהּ שְׁמוֹ וְעִלְזוּ לְפָנָיו׃
אֲבִי יְתוֹמִים וְדַיַּן אַלְמָנוֹת אֱלֹהִים בִּמְעוֹן קָדְשׁוֹ׃
אֱלֹהִים מוֹשִׁיב יְחִידִים בַּיְתָה מוֹצִיא אֲסִירִים בַּכּוֹשָׁרוֹת אַךְ סוֹרֲרִים שָׁכְנוּ צְחִיחָה׃
אֱ‍לֹהִים בְּצֵאתְךָ לִפְנֵי עַמֶּךָ בְּצַעְדְּךָ בִישִׁימוֹן סֶלָה׃
אֶרֶץ רָעָשָׁה אַף־שָׁמַיִם נָטְפוּ מִפְּנֵי אֱלֹהִים זֶה סִינַי מִפְּנֵי אֱלֹהִים אֱלֹהֵי יִשְׂרָאֵל׃
גֶּשֶׁם נְדָבוֹת תָּנִיף אֱלֹהִים נַחֲלָתְךָ וְנִלְאָה אַתָּה כוֹנַנְתָּהּ׃
חַיָּתְךָ יָשְׁבוּ־בָהּ תָּכִין בְּטוֹבָתְךָ לֶעָנִי אֱלֹהִים׃
אֲדֹנָי יִתֶּן־אֹמֶר הַמְבַשְּׂרוֹת צָבָא רָב׃
מַלְכֵי צְבָאוֹת יִדֹּדוּן יִדֹּדוּן וּנְוַת בַּיִת תְּחַלֵּק שָׁלָל׃
אִם־תִּשְׁכְּבוּן בֵּין שְׁפַתָּיִם כַּנְפֵי יוֹנָה נֶחְפָּה בַכֶּסֶף וְאֶבְרוֹתֶיהָ בִּירַקְרַק חָרוּץ׃
בְּפָרֵשׂ שַׁדַּי מְלָכִים בָּהּ תַּשְׁלֵג בְּצַלְמוֹן׃
הַר־אֱלֹהִים הַר־בָּשָׁן הַר גַּבְנֻנִּים הַר־בָּשָׁן׃
לָמָּה תְּרַצְּדוּן הָרִים גַּבְנֻנִּים הָהָר חָמַד אֱלֹהִים לְשִׁבְתּוֹ אַף־יְהוָה יִשְׁכֹּן לָנֶצַח׃
רֶכֶב אֱלֹהִים רִבֹּתַיִם אַלְפֵי שִׁנְאָן אֲדֹנָי בָם סִינַי בַּקֹּדֶשׁ׃
עָלִיתָ לַמָּרוֹם שָׁבִיתָ שֶּׁבִי לָקַחְתָּ מַתָּנוֹת בָּאָדָם וְאַף סוֹרְרִים לִשְׁכֹּן יָהּ אֱלֹהִים׃
בָּרוּךְ אֲדֹנָי יוֹם יוֹם יַעֲמָס־לָנוּ הָאֵל יְשׁוּעָתֵנוּ סֶלָה׃
הָאֵל לָנוּ אֵל לְמוֹשָׁעוֹת וְלֵיהוִה אֲדֹנָי לַמָּוֶת תּוֹצָאוֹת׃
אַךְ־אֱלֹהִים יִמְחַץ רֹאשׁ אֹיְבָיו קָדְקֹד שֵׂעָר מִתְהַלֵּךְ בַּאֲשָׁמָיו׃
אָמַר אֲדֹנָי מִבָּשָׁן אָשִׁיב אָשִׁיב מִמְּצֻלוֹת יָם׃
לְמַעַן תִּמְחַץ רַגְלְךָ בְּדָם לְשׁוֹן כְּלָבֶיךָ מֵאֹיְבִים מִנֵּהוּ׃
רָאוּ הֲלִיכוֹתֶיךָ אֱלֹהִים הֲלִיכוֹת אֵלִי מַלְכִּי בַקֹּדֶשׁ׃
קִדְּמוּ שָׁרִים אַחַר נֹגְנִים בְּתוֹךְ עֲלָמוֹת תּוֹפֵפוֹת׃
בְּמַקְהֵלוֹת בָּרְכוּ אֱלֹהִים יְהוָה מִמְּקוֹר יִשְׂרָאֵל׃
שָׁם בִּנְיָמִן צָעִיר רֹדֵם שָׂרֵי יְהוּדָה רִגְמָתָם שָׂרֵי זְבֻלוּן שָׂרֵי נַפְתָּלִי׃
צִוָּה אֱלֹהֶיךָ עֻזֶּךָ עוּזָּה אֱלֹהִים זוּ פָּעַלְתָּ לָּנוּ׃
מֵהֵיכָלֶךָ עַל־יְרוּשָׁלִָם לְךָ יוֹבִילוּ מְלָכִים שָׁי׃
גְּעַר חַיַּת קָנֶה עֲדַת אַבִּירִים בְּעֶגְלֵי עַמִּים מִתְרַפֵּס בְּרַצֵּי־כָסֶף בִּזַּר עַמִּים קְרָבוֹת יֶחְפָּצוּ׃
יֶאֱתָיוּ חַשְׁמַנִּים מִנִּי מִצְרָיִם כּוּשׁ תָּרִיץ יָדָיו לֵאלֹהִים׃
מַמְלְכוֹת הָאָרֶץ שִׁירוּ לֵאלֹהִים זַמְּרוּ אֲדֹנָי סֶלָה׃
לָרֹכֵב בִּשְׁמֵי שְׁמֵי־קֶדֶם הֵן יִתֵּן בְּקוֹלוֹ קוֹל עֹז׃
תְּנוּ עֹז לֵאלֹהִים עַל־יִשְׂרָאֵל גַּאֲוָתוֹ וְעֻזּוֹ בַּשְּׁחָקִים׃
נוֹרָא אֱלֹהִים מִמִּקְדָּשֶׁיךָ אֵל יִשְׂרָאֵל הוּא נֹתֵן עֹז וְתַעֲצֻמוֹת לָעָם בָּרוּךְ אֱלֹהִים׃</t>
        </is>
      </c>
      <c r="F72" s="10" t="inlineStr"/>
      <c r="G72" s="11" t="inlineStr">
        <is>
          <t>Psalms 68</t>
        </is>
      </c>
      <c r="H72" s="8" t="inlineStr">
        <is>
          <t>Tanach with Nikkud — Public Domain</t>
        </is>
      </c>
      <c r="I72" s="8" t="inlineStr">
        <is>
          <t>sefaria-psalms-68</t>
        </is>
      </c>
    </row>
    <row r="73" ht="409" customHeight="1">
      <c r="A73" s="7">
        <f>IF(LEN(TRIM(F73))=0,"Approved","Comment to address")</f>
        <v/>
      </c>
      <c r="B73" s="12" t="inlineStr">
        <is>
          <t>Psalm 69</t>
        </is>
      </c>
      <c r="C73" s="12" t="inlineStr">
        <is>
          <t>protection</t>
        </is>
      </c>
      <c r="D73" s="12" t="inlineStr">
        <is>
          <t>Scriptural</t>
        </is>
      </c>
      <c r="E73" s="13" t="inlineStr">
        <is>
          <t>לַמְנַצֵּחַ עַל־שׁוֹשַׁנִּים לְדָוִד׃
הוֹשִׁיעֵנִי אֱלֹהִים כִּי בָאוּ מַיִם עַד־נָפֶשׁ׃
טָבַעְתִּי בִּיוֵן מְצוּלָה וְאֵין מָעֳמָד בָּאתִי בְמַעֲמַקֵּי־מַיִם וְשִׁבֹּלֶת שְׁטָפָתְנִי׃
יָגַעְתִּי בְקָרְאִי נִחַר גְּרוֹנִי כָּלוּ עֵינַי מְיַחֵל לֵאלֹהָי׃
רַבּוּ מִשַּׂעֲרוֹת רֹאשִׁי שֹׂנְאַי חִנָּם עָצְמוּ מַצְמִיתַי אֹיְבַי שֶׁקֶר אֲשֶׁר לֹא־גָזַלְתִּי אָז אָשִׁיב׃
אֱ‍לֹהִים אַתָּה יָדַעְתָּ לְאִוַּלְתִּי וְאַשְׁמוֹתַי מִמְּךָ לֹא־נִכְחָדוּ׃
אַל־יֵבֹשׁוּ בִי קֹוֶיךָ אֲדֹנָי יְהוִה צְבָאוֹת אַל־יִכָּלְמוּ בִי מְבַקְשֶׁיךָ אֱלֹהֵי יִשְׂרָאֵל׃
כִּי־עָלֶיךָ נָשָׂאתִי חֶרְפָּה כִּסְּתָה כְלִמָּה פָנָי׃
מוּזָר הָיִיתִי לְאֶחָי וְנָכְרִי לִבְנֵי אִמִּי׃
כִּי־קִנְאַת בֵּיתְךָ אֲכָלָתְנִי וְחֶרְפּוֹת חוֹרְפֶיךָ נָפְלוּ עָלָי׃
וָאֶבְכֶּה בַצּוֹם נַפְשִׁי וַתְּהִי לַחֲרָפוֹת לִי׃
וָאֶתְּנָה לְבוּשִׁי שָׂק וָאֱהִי לָהֶם לְמָשָׁל׃
יָשִׂיחוּ בִי יֹשְׁבֵי שָׁעַר וּנְגִינוֹת שׁוֹתֵי שֵׁכָר׃
וַאֲנִי תְפִלָּתִי־לְךָ יְהוָה עֵת רָצוֹן אֱלֹהִים בְּרָב־חַסְדֶּךָ עֲנֵנִי בֶּאֱמֶת יִשְׁעֶךָ׃
הַצִּילֵנִי מִטִּיט וְאַל־אֶטְבָּעָה אִנָּצְלָה מִשֹּׂנְאַי וּמִמַּעֲמַקֵּי־מָיִם׃
אַל־תִּשְׁטְפֵנִי שִׁבֹּלֶת מַיִם וְאַל־תִּבְלָעֵנִי מְצוּלָה וְאַל־תֶּאְטַר־עָלַי בְּאֵר פִּיהָ׃
עֲנֵנִי יְהוָה כִּי־טוֹב חַסְדֶּךָ כְּרֹב רַחֲמֶיךָ פְּנֵה אֵלָי׃
וְאַל־תַּסְתֵּר פָּנֶיךָ מֵעַבְדֶּךָ כִּי־צַר־לִי מַהֵר עֲנֵנִי׃
קָרְבָה אֶל־נַפְשִׁי גְאָלָהּ לְמַעַן אֹיְבַי פְּדֵנִי׃
אַתָּה יָדַעְתָּ חֶרְפָּתִי וּבָשְׁתִּי וּכְלִמָּתִי נֶגְדְּךָ כָּל־צוֹרְרָי׃
חֶרְפָּה שָׁבְרָה לִבִּי וָאָנוּשָׁה וָאֲקַוֶּה לָנוּד וָאַיִן וְלַמְנַחֲמִים וְלֹא מָצָאתִי׃
וַיִּתְּנוּ בְּבָרוּתִי רֹאשׁ וְלִצְמָאִי יַשְׁקוּנִי חֹמֶץ׃
יְהִי־שֻׁלְחָנָם לִפְנֵיהֶם לְפָח וְלִשְׁלוֹמִים לְמוֹקֵשׁ׃
תֶּחְשַׁכְנָה עֵינֵיהֶם מֵרְאוֹת וּמָתְנֵיהֶם תָּמִיד הַמְעַד׃
שְׁפָךְ־עֲלֵיהֶם זַעְמֶךָ וַחֲרוֹן אַפְּךָ יַשִּׂיגֵם׃
תְּהִי־טִירָתָם נְשַׁמָּה בְּאָהֳלֵיהֶם אַל־יְהִי יֹשֵׁב׃
כִּי־אַתָּה אֲשֶׁר־הִכִּיתָ רָדָפוּ וְאֶל־מַכְאוֹב חֲלָלֶיךָ יְסַפֵּרוּ׃
תְּנָה־עָוֺן עַל־עֲוֺנָם וְאַל־יָבֹאוּ בְּצִדְקָתֶךָ׃
יִמָּחוּ מִסֵּפֶר חַיִּים וְעִם צַדִּיקִים אַל־יִכָּתֵבוּ׃
וַאֲנִי עָנִי וְכוֹאֵב יְשׁוּעָתְךָ אֱלֹהִים תְּשַׂגְּבֵנִי׃
אֲהַלְלָה שֵׁם־אֱלֹהִים בְּשִׁיר וַאֲגַדְּלֶנּוּ בְתוֹדָה׃
וְתִיטַב לַיהוָה מִשּׁוֹר פָּר מַקְרִן מַפְרִיס׃
רָאוּ עֲנָוִים יִשְׂמָחוּ דֹּרְשֵׁי אֱלֹהִים וִיחִי לְבַבְכֶם׃
כִּי־שֹׁמֵעַ אֶל־אֶבְיוֹנִים יְהוָה וְאֶת־אֲסִירָיו לֹא בָזָה׃
יְהַלְלוּהוּ שָׁמַיִם וָאָרֶץ יַמִּים וְכָל־רֹמֵשׂ בָּם׃
כִּי אֱלֹהִים יוֹשִׁיעַ צִיּוֹן וְיִבְנֶה עָרֵי יְהוּדָה וְיָשְׁבוּ שָׁם וִירֵשׁוּהָ׃
וְזֶרַע עֲבָדָיו יִנְחָלוּהָ וְאֹהֲבֵי שְׁמוֹ יִשְׁכְּנוּ־בָהּ׃</t>
        </is>
      </c>
      <c r="F73" s="10" t="inlineStr"/>
      <c r="G73" s="14" t="inlineStr">
        <is>
          <t>Psalms 69</t>
        </is>
      </c>
      <c r="H73" s="12" t="inlineStr">
        <is>
          <t>Tanach with Nikkud — Public Domain</t>
        </is>
      </c>
      <c r="I73" s="12" t="inlineStr">
        <is>
          <t>sefaria-psalms-69</t>
        </is>
      </c>
    </row>
    <row r="74" ht="165" customHeight="1">
      <c r="A74" s="7">
        <f>IF(LEN(TRIM(F74))=0,"Approved","Comment to address")</f>
        <v/>
      </c>
      <c r="B74" s="8" t="inlineStr">
        <is>
          <t>Psalm 70</t>
        </is>
      </c>
      <c r="C74" s="8" t="inlineStr">
        <is>
          <t>protection</t>
        </is>
      </c>
      <c r="D74" s="8" t="inlineStr">
        <is>
          <t>Scriptural</t>
        </is>
      </c>
      <c r="E74" s="9" t="inlineStr">
        <is>
          <t>לַמְנַצֵּחַ לְדָוִד לְהַזְכִּיר׃
אֱלֹהִים לְהַצִּילֵנִי יְהוָה לְעֶזְרָתִי חוּשָׁה׃
יֵבֹשׁוּ וְיַחְפְּרוּ מְבַקְשֵׁי נַפְשִׁי יִסֹּגוּ אָחוֹר וְיִכָּלְמוּ חֲפֵצֵי רָעָתִי׃
יָשׁוּבוּ עַל־עֵקֶב בָּשְׁתָּם הָאֹמְרִים הֶאָח הֶאָח׃
יָשִׂישׂוּ וְיִשְׂמְחוּ בְּךָ כָּל־מְבַקְשֶׁיךָ וְיֹאמְרוּ תָמִיד יִגְדַּל אֱלֹהִים אֹהֲבֵי יְשׁוּעָתֶךָ׃
וַאֲנִי עָנִי וְאֶבְיוֹן אֱלֹהִים חוּשָׁה־לִּי עֶזְרִי וּמְפַלְטִי אַתָּה יְהוָה אַל־תְּאַחַר׃</t>
        </is>
      </c>
      <c r="F74" s="10" t="inlineStr"/>
      <c r="G74" s="11" t="inlineStr">
        <is>
          <t>Psalms 70</t>
        </is>
      </c>
      <c r="H74" s="8" t="inlineStr">
        <is>
          <t>Tanach with Nikkud — Public Domain</t>
        </is>
      </c>
      <c r="I74" s="8" t="inlineStr">
        <is>
          <t>sefaria-psalms-70</t>
        </is>
      </c>
    </row>
    <row r="75" ht="409" customHeight="1">
      <c r="A75" s="7">
        <f>IF(LEN(TRIM(F75))=0,"Approved","Comment to address")</f>
        <v/>
      </c>
      <c r="B75" s="12" t="inlineStr">
        <is>
          <t>Psalm 71</t>
        </is>
      </c>
      <c r="C75" s="12" t="inlineStr">
        <is>
          <t>health</t>
        </is>
      </c>
      <c r="D75" s="12" t="inlineStr">
        <is>
          <t>Scriptural</t>
        </is>
      </c>
      <c r="E75" s="13" t="inlineStr">
        <is>
          <t>בְּךָ־יְהוָה חָסִיתִי אַל־אֵבוֹשָׁה לְעוֹלָם׃
בְּצִדְקָתְךָ תַּצִּילֵנִי וּתְפַלְּטֵנִי הַטֵּה־אֵלַי אָזְנְךָ וְהוֹשִׁיעֵנִי׃
הֱיֵה לִי לְצוּר מָעוֹן לָבוֹא תָּמִיד צִוִּיתָ לְהוֹשִׁיעֵנִי כִּי־סַלְעִי וּמְצוּדָתִי אָתָּה׃
אֱ‍לֹהַי פַּלְּטֵנִי מִיַּד רָשָׁע מִכַּף מְעַוֵּל וְחוֹמֵץ׃
כִּי־אַתָּה תִקְוָתִי אֲדֹנָי יְהוִה מִבְטַחִי מִנְּעוּרָי׃
עָלֶיךָ נִסְמַכְתִּי מִבֶּטֶן מִמְּעֵי אִמִּי אַתָּה גוֹזִי בְּךָ תְהִלָּתִי תָמִיד׃
כְּמוֹפֵת הָיִיתִי לְרַבִּים וְאַתָּה מַחֲסִי־עֹז׃
יִמָּלֵא פִי תְּהִלָּתֶךָ כָּל־הַיּוֹם תִּפְאַרְתֶּךָ׃
אַל־תַּשְׁלִיכֵנִי לְעֵת זִקְנָה כִּכְלוֹת כֹּחִי אַל־תַּעַזְבֵנִי׃
כִּי־אָמְרוּ אוֹיְבַי לִי וְשֹׁמְרֵי נַפְשִׁי נוֹעֲצוּ יַחְדָּו׃
לֵאמֹר אֱלֹהִים עֲזָבוֹ רִדְפוּ וְתִפְשׂוּהוּ כִּי־אֵין מַצִּיל׃
אֱלֹהִים אַל־תִּרְחַק מִמֶּנִּי אֱלֹהַי לְעֶזְרָתִי חישה [חוּשָׁה׃]
יֵבֹשׁוּ יִכְלוּ שֹׂטְנֵי נַפְשִׁי יַעֲטוּ חֶרְפָּה וּכְלִמָּה מְבַקְשֵׁי רָעָתִי׃
וַאֲנִי תָּמִיד אֲיַחֵל וְהוֹסַפְתִּי עַל־כָּל־תְּהִלָּתֶךָ׃
פִּי יְסַפֵּר צִדְקָתֶךָ כָּל־הַיּוֹם תְּשׁוּעָתֶךָ כִּי לֹא יָדַעְתִּי סְפֹרוֹת׃
אָבוֹא בִּגְבֻרוֹת אֲדֹנָי יְהוִה אַזְכִּיר צִדְקָתְךָ לְבַדֶּךָ׃
אֱ‍לֹהִים לִמַּדְתַּנִי מִנְּעוּרָי וְעַד־הֵנָּה אַגִּיד נִפְלְאוֹתֶיךָ׃
וְגַם עַד־זִקְנָה וְשֵׂיבָה אֱלֹהִים אַל־תַּעַזְבֵנִי עַד־אַגִּיד זְרוֹעֲךָ לְדוֹר לְכָל־יָבוֹא גְּבוּרָתֶךָ׃
וְצִדְקָתְךָ אֱלֹהִים עַד־מָרוֹם אֲשֶׁר־עָשִׂיתָ גְדֹלוֹת אֱלֹהִים מִי כָמוֹךָ׃
אֲשֶׁר הראיתנו [הִרְאִיתַנִי ] צָרוֹת רַבּוֹת וְרָעוֹת תָּשׁוּב תחיינו [תְּחַיֵּינִי] וּמִתְּהֹמוֹת הָאָרֶץ תָּשׁוּב תַּעֲלֵנִי׃
תֶּרֶב גְּדֻלָּתִי וְתִסֹּב תְּנַחֲמֵנִי׃
גַּם־אֲנִי אוֹדְךָ בִכְלִי־נֶבֶל אֲמִתְּךָ אֱלֹהָי אֲזַמְּרָה לְךָ בְכִנּוֹר קְדוֹשׁ יִשְׂרָאֵל׃
תְּרַנֵּנָּה שְׂפָתַי כִּי אֲזַמְּרָה־לָּךְ וְנַפְשִׁי אֲשֶׁר פָּדִיתָ׃
גַּם־לְשׁוֹנִי כָּל־הַיּוֹם תֶּהְגֶּה צִדְקָתֶךָ כִּי־בֹשׁוּ כִי־חָפְרוּ מְבַקְשֵׁי רָעָתִי׃</t>
        </is>
      </c>
      <c r="F75" s="10" t="inlineStr"/>
      <c r="G75" s="14" t="inlineStr">
        <is>
          <t>Psalms 71</t>
        </is>
      </c>
      <c r="H75" s="12" t="inlineStr">
        <is>
          <t>Tanach with Nikkud — Public Domain</t>
        </is>
      </c>
      <c r="I75" s="12" t="inlineStr">
        <is>
          <t>sefaria-psalms-71</t>
        </is>
      </c>
    </row>
    <row r="76" ht="409" customHeight="1">
      <c r="A76" s="7">
        <f>IF(LEN(TRIM(F76))=0,"Approved","Comment to address")</f>
        <v/>
      </c>
      <c r="B76" s="8" t="inlineStr">
        <is>
          <t>Psalm 72</t>
        </is>
      </c>
      <c r="C76" s="8" t="inlineStr">
        <is>
          <t>success</t>
        </is>
      </c>
      <c r="D76" s="8" t="inlineStr">
        <is>
          <t>Scriptural</t>
        </is>
      </c>
      <c r="E76" s="9" t="inlineStr">
        <is>
          <t>לִשְׁלֹמֹה אֱ‍לֹהִים מִשְׁפָּטֶיךָ לְמֶלֶךְ תֵּן וְצִדְקָתְךָ לְבֶן־מֶלֶךְ׃
יָדִין עַמְּךָ בְצֶדֶק וַעֲנִיֶּיךָ בְמִשְׁפָּט׃
יִשְׂאוּ הָרִים שָׁלוֹם לָעָם וּגְבָעוֹת בִּצְדָקָה׃
יִשְׁפֹּט עֲ‍נִיֵּי־עָם יוֹשִׁיעַ לִבְנֵי אֶבְיוֹן וִידַכֵּא עוֹשֵׁק׃
יִירָאוּךָ עִם־שָׁמֶשׁ וְלִפְנֵי יָרֵחַ דּוֹר דּוֹרִים׃
יֵרֵד כְּמָטָר עַל־גֵּז כִּרְבִיבִים זַרְזִיף אָרֶץ׃
יִפְרַח־בְּיָמָיו צַדִּיק וְרֹב שָׁלוֹם עַד־בְּלִי יָרֵחַ׃
וְיֵרְדְּ מִיָּם עַד־יָם וּמִנָּהָר עַד־אַפְסֵי־אָרֶץ׃
לְפָנָיו יִכְרְעוּ צִיִּים וְאֹיְבָיו עָפָר יְלַחֵכוּ׃
מַלְכֵי תַרְשִׁישׁ וְאִיִּים מִנְחָה יָשִׁיבוּ מַלְכֵי שְׁבָא וּסְבָא אֶשְׁכָּר יַקְרִיבוּ׃
וְיִשְׁתַּחֲווּ־לוֹ כָל־מְלָכִים כָּל־גּוֹיִם יַעַבְדוּהוּ׃
כִּי־יַצִּיל אֶבְיוֹן מְשַׁוֵּעַ וְעָנִי וְאֵין־עֹזֵר לוֹ׃
יָחֹס עַל־דַּל וְאֶבְיוֹן וְנַפְשׁוֹת אֶבְיוֹנִים יוֹשִׁיעַ׃
מִתּוֹךְ וּמֵחָמָס יִגְאַל נַפְשָׁם וְיֵיקַר דָּמָם בְּעֵינָיו׃
וִיחִי וְיִתֶּן־לוֹ מִזְּהַב שְׁבָא וְיִתְפַּלֵּל בַּעֲדוֹ תָמִיד כָּל־הַיּוֹם יְבָרֲכֶנְהוּ׃
יְהִי פִסַּת־בַּר בָּאָרֶץ בְּרֹאשׁ הָרִים יִרְעַשׁ כַּלְּבָנוֹן פִּרְיוֹ וְיָצִיצוּ מֵעִיר כְּעֵשֶׂב הָאָרֶץ׃
יְהִי שְׁמוֹ לְעוֹלָם לִפְנֵי־שֶׁמֶשׁ ינין [יִנּוֹן] שְׁמוֹ וְיִתְבָּרְכוּ בוֹ כָּל־גּוֹיִם יְאַשְּׁרוּהוּ׃
בָּרוּךְ יְהוָה אֱלֹהִים אֱלֹהֵי יִשְׂרָאֵל עֹשֵׂה נִפְלָאוֹת לְבַדּוֹ׃
וּבָרוּךְ שֵׁם כְּבוֹדוֹ לְעוֹלָם וְיִמָּלֵא כְבוֹדוֹ אֶת־כֹּל הָאָרֶץ אָמֵן וְאָמֵן׃
כָּלּוּ תְפִלּוֹת דָּוִד בֶּן־יִשָׁי׃</t>
        </is>
      </c>
      <c r="F76" s="10" t="inlineStr"/>
      <c r="G76" s="11" t="inlineStr">
        <is>
          <t>Psalms 72</t>
        </is>
      </c>
      <c r="H76" s="8" t="inlineStr">
        <is>
          <t>Tanach with Nikkud — Public Domain</t>
        </is>
      </c>
      <c r="I76" s="8" t="inlineStr">
        <is>
          <t>sefaria-psalms-72</t>
        </is>
      </c>
    </row>
    <row r="77" ht="409" customHeight="1">
      <c r="A77" s="7">
        <f>IF(LEN(TRIM(F77))=0,"Approved","Comment to address")</f>
        <v/>
      </c>
      <c r="B77" s="12" t="inlineStr">
        <is>
          <t>Psalm 73</t>
        </is>
      </c>
      <c r="C77" s="12" t="inlineStr">
        <is>
          <t>success</t>
        </is>
      </c>
      <c r="D77" s="12" t="inlineStr">
        <is>
          <t>Scriptural</t>
        </is>
      </c>
      <c r="E77" s="13" t="inlineStr">
        <is>
          <t>מִזְמוֹר לְאָסָף אַךְ טוֹב לְיִשְׂרָאֵל אֱלֹהִים לְבָרֵי לֵבָב׃
וַאֲנִי כִּמְעַט נטוי [נָטָיוּ] רַגְלָי כְּאַיִן שפכה [שֻׁפְּכוּ] אֲשֻׁרָי׃
כִּי־קִנֵּאתִי בַּהוֹלְלִים שְׁלוֹם רְשָׁעִים אֶרְאֶה׃
כִּי אֵין חַרְצֻבּוֹת לְמוֹתָם וּבָרִיא אוּלָם׃
בַּעֲמַל אֱנוֹשׁ אֵינֵמוֹ וְעִם־אָדָם לֹא יְנֻגָּעוּ׃
לָכֵן עֲנָקַתְמוֹ גַאֲוָה יַעֲטָף־שִׁית חָמָס לָמוֹ׃
יָצָא מֵחֵלֶב עֵינֵמוֹ עָבְרוּ מַשְׂכִּיּוֹת לֵבָב׃
יָמִיקוּ וִידַבְּרוּ בְרָע עֹשֶׁק מִמָּרוֹם יְדַבֵּרוּ׃
שַׁתּוּ בַשָּׁמַיִם פִּיהֶם וּלְשׁוֹנָם תִּהֲלַךְ בָּאָרֶץ׃
לָכֵן ישיב [יָשׁוּב] עַמּוֹ הֲלֹם וּמֵי מָלֵא יִמָּצוּ לָמוֹ׃
וְאָמְרוּ אֵיכָה יָדַע־אֵל וְיֵשׁ דֵּעָה בְעֶלְיוֹן׃
הִנֵּה־אֵלֶּה רְשָׁעִים וְשַׁלְוֵי עוֹלָם הִשְׂגּוּ־חָיִל׃
אַךְ־רִיק זִכִּיתִי לְבָבִי וָאֶרְחַץ בְּנִקָּיוֹן כַּפָּי׃
וָאֱהִי נָגוּעַ כָּל־הַיּוֹם וְתוֹכַחְתִּי לַבְּקָרִים׃
אִם־אָמַרְתִּי אֲסַפְּרָה כְמוֹ הִנֵּה דוֹר בָּנֶיךָ בָגָדְתִּי׃
וָאֲחַשְּׁבָה לָדַעַת זֹאת עָמָל היא [הוּא] בְעֵינָי׃
עַד־אָבוֹא אֶל־מִקְדְּשֵׁי־אֵל אָבִינָה לְאַחֲרִיתָם׃
אַךְ בַּחֲלָקוֹת תָּשִׁית לָמוֹ הִפַּלְתָּם לְמַשּׁוּאוֹת׃
אֵיךְ הָיוּ לְשַׁמָּה כְרָגַע סָפוּ תַמּוּ מִן־בַּלָּהוֹת׃
כַּחֲלוֹם מֵהָקִיץ אֲדֹנָי בָּעִיר צַלְמָם תִּבְזֶה׃
כִּי יִתְחַמֵּץ לְבָבִי וְכִלְיוֹתַי אֶשְׁתּוֹנָן׃
וַאֲנִי־בַעַר וְלֹא אֵדָע בְּהֵמוֹת הָיִיתִי עִמָּךְ׃
וַאֲנִי תָמִיד עִמָּךְ אָחַזְתָּ בְּיַד־יְמִינִי׃
בַּעֲצָתְךָ תַנְחֵנִי וְאַחַר כָּבוֹד תִּקָּחֵנִי׃
מִי־לִי בַשָּׁמָיִם וְעִמְּךָ לֹא־חָפַצְתִּי בָאָרֶץ׃
כָּלָה שְׁאֵרִי וּלְבָבִי צוּר־לְבָבִי וְחֶלְקִי אֱלֹהִים לְעוֹלָם׃
כִּי־הִנֵּה רְחֵקֶיךָ יֹאבֵדוּ הִצְמַתָּה כָּל־זוֹנֶה מִמֶּךָּ׃
וַאֲנִי קִרֲבַת אֱלֹהִים לִי־טוֹב שַׁתִּי בַּאדֹנָי יְהֹוִה מַחְסִי לְסַפֵּר כָּל־מַלְאֲכוֹתֶיךָ׃</t>
        </is>
      </c>
      <c r="F77" s="10" t="inlineStr"/>
      <c r="G77" s="14" t="inlineStr">
        <is>
          <t>Psalms 73</t>
        </is>
      </c>
      <c r="H77" s="12" t="inlineStr">
        <is>
          <t>Tanach with Nikkud — Public Domain</t>
        </is>
      </c>
      <c r="I77" s="12" t="inlineStr">
        <is>
          <t>sefaria-psalms-73</t>
        </is>
      </c>
    </row>
    <row r="78" ht="409" customHeight="1">
      <c r="A78" s="7">
        <f>IF(LEN(TRIM(F78))=0,"Approved","Comment to address")</f>
        <v/>
      </c>
      <c r="B78" s="8" t="inlineStr">
        <is>
          <t>Psalm 74</t>
        </is>
      </c>
      <c r="C78" s="8" t="inlineStr">
        <is>
          <t>mourning</t>
        </is>
      </c>
      <c r="D78" s="8" t="inlineStr">
        <is>
          <t>Scriptural</t>
        </is>
      </c>
      <c r="E78" s="9" t="inlineStr">
        <is>
          <t>מַשְׂכִּיל לְאָסָף לָמָה אֱלֹהִים זָנַחְתָּ לָנֶצַח יֶעְשַׁן אַפְּךָ בְּצֹאן מַרְעִיתֶךָ׃
זְכֹר עֲדָתְךָ קָנִיתָ קֶּדֶם גָּאַלְתָּ שֵׁבֶט נַחֲלָתֶךָ הַר־צִיּוֹן זֶה שָׁכַנְתָּ בּוֹ׃
הָרִימָה פְעָמֶיךָ לְמַשֻּׁאוֹת נֶצַח כָּל־הֵרַע אוֹיֵב בַּקֹּדֶשׁ׃
שָׁאֲגוּ צֹרְרֶיךָ בְּקֶרֶב מוֹעֲדֶךָ שָׂמוּ אוֹתֹתָם אֹתוֹת׃
יִוָּדַע כְּמֵבִיא לְמָעְלָה בִּסֲבָךְ־עֵץ קַרְדֻּמּוֹת׃
ועת [וְעַתָּה] פִּתּוּחֶיהָ יָּחַד בְּכַשִּׁיל וְכֵילַפֹּת יַהֲלֹמוּן׃
שִׁלְחוּ בָאֵשׁ מִקְדָּשֶׁךָ לָאָרֶץ חִלְּלוּ מִשְׁכַּן־שְׁמֶךָ׃
אָמְרוּ בְלִבָּם נִינָם יָחַד שָׂרְפוּ כָל־מוֹעֲדֵי־אֵל בָּאָרֶץ׃
אוֹתֹתֵינוּ לֹא רָאִינוּ אֵין־עוֹד נָבִיא וְלֹא־אִתָּנוּ יֹדֵעַ עַד־מָה׃
עַד־מָתַי אֱלֹהִים יְחָרֶף צָר יְנָאֵץ אוֹיֵב שִׁמְךָ לָנֶצַח׃
לָמָּה תָשִׁיב יָדְךָ וִימִינֶךָ מִקֶּרֶב חוקך [חֵיקְךָ] כַלֵּה׃
וֵאלֹהִים מַלְכִּי מִקֶּדֶם פֹּעֵל יְשׁוּעוֹת בְּקֶרֶב הָאָרֶץ׃
אַתָּה פוֹרַרְתָּ בְעָזְּךָ יָם שִׁבַּרְתָּ רָאשֵׁי תַנִּינִים עַל־הַמָּיִם׃
אַתָּה רִצַּצְתָּ רָאשֵׁי לִוְיָתָן תִּתְּנֶנּוּ מַאֲכָל לְעָם לְצִיִּים׃
אַתָּה בָקַעְתָּ מַעְיָן וָנָחַל אַתָּה הוֹבַשְׁתָּ נַהֲרוֹת אֵיתָן׃
לְךָ יוֹם אַף־לְךָ לָיְלָה אַתָּה הֲכִינוֹתָ מָאוֹר וָשָׁמֶשׁ׃
אַתָּה הִצַּבְתָּ כָּל־גְּבוּלוֹת אָרֶץ קַיִץ וָחֹרֶף אַתָּה יְצַרְתָּם׃
זְכָר־זֹאת אוֹיֵב חֵרֵף יְהוָה וְעַם נָבָל נִאֲצוּ שְׁמֶךָ׃
אַל־תִּתֵּן לְחַיַּת נֶפֶשׁ תּוֹרֶךָ חַיַּת עֲנִיֶּיךָ אַל־תִּשְׁכַּח לָנֶצַח׃
הַבֵּט לַבְּרִית כִּי מָלְאוּ מַחֲשַׁכֵּי־אֶרֶץ נְאוֹת חָמָס׃
אַל־יָשֹׁב דַּךְ נִכְלָם עָנִי וְאֶבְיוֹן יְהַלְלוּ שְׁמֶךָ׃
קוּמָה אֱלֹהִים רִיבָה רִיבֶךָ זְכֹר חֶרְפָּתְךָ מִנִּי־נָבָל כָּל־הַיּוֹם׃
אַל־תִּשְׁכַּח קוֹל צֹרְרֶיךָ שְׁאוֹן קָמֶיךָ עֹלֶה תָמִיד׃</t>
        </is>
      </c>
      <c r="F78" s="10" t="inlineStr"/>
      <c r="G78" s="11" t="inlineStr">
        <is>
          <t>Psalms 74</t>
        </is>
      </c>
      <c r="H78" s="8" t="inlineStr">
        <is>
          <t>Tanach with Nikkud — Public Domain</t>
        </is>
      </c>
      <c r="I78" s="8" t="inlineStr">
        <is>
          <t>sefaria-psalms-74</t>
        </is>
      </c>
    </row>
    <row r="79" ht="216" customHeight="1">
      <c r="A79" s="7">
        <f>IF(LEN(TRIM(F79))=0,"Approved","Comment to address")</f>
        <v/>
      </c>
      <c r="B79" s="12" t="inlineStr">
        <is>
          <t>Psalm 75</t>
        </is>
      </c>
      <c r="C79" s="12" t="inlineStr">
        <is>
          <t>thanks</t>
        </is>
      </c>
      <c r="D79" s="12" t="inlineStr">
        <is>
          <t>Scriptural</t>
        </is>
      </c>
      <c r="E79" s="13" t="inlineStr">
        <is>
          <t>לַמְנַצֵּחַ אַל־תַּשְׁחֵת מִזְמוֹר לְאָסָף שִׁיר׃
הוֹדִינוּ לְּךָ אֱ‍לֹהִים הוֹדִינוּ וְקָרוֹב שְׁמֶךָ סִפְּרוּ נִפְלְאוֹתֶיךָ׃
כִּי אֶקַּח מוֹעֵד אֲנִי מֵישָׁרִים אֶשְׁפֹּט׃
נְמֹגִים אֶרֶץ וְכָל־יֹשְׁבֶיהָ אָנֹכִי תִכַּנְתִּי עַמּוּדֶיהָ סֶּלָה׃
אָמַרְתִּי לַהוֹלְלִים אַל־תָּהֹלּוּ וְלָרְשָׁעִים אַל־תָּרִימוּ קָרֶן׃
אַל־תָּרִימוּ לַמָּרוֹם קַרְנְכֶם תְּדַבְּרוּ בְצַוָּאר עָתָק׃
כִּי לֹא מִמּוֹצָא וּמִמַּעֲרָב וְלֹא מִמִּדְבַּר הָרִים׃
כִּי־אֱלֹהִים שֹׁפֵט זֶה יַשְׁפִּיל וְזֶה יָרִים׃
כִּי כוֹס בְּיַד־יְהוָה וְיַיִן חָמַר מָלֵא מֶסֶךְ וַיַּגֵּר מִזֶּה אַךְ־שְׁמָרֶיהָ יִמְצוּ יִשְׁתּוּ כֹּל רִשְׁעֵי־אָרֶץ׃
וַאֲנִי אַגִּיד לְעֹלָם אֲזַמְּרָה לֵאלֹהֵי יַעֲקֹב׃
וְכָל־קַרְנֵי רְשָׁעִים אֲגַדֵּעַ תְּרוֹמַמְנָה קַרְנוֹת צַדִּיק׃</t>
        </is>
      </c>
      <c r="F79" s="10" t="inlineStr"/>
      <c r="G79" s="14" t="inlineStr">
        <is>
          <t>Psalms 75</t>
        </is>
      </c>
      <c r="H79" s="12" t="inlineStr">
        <is>
          <t>Tanach with Nikkud — Public Domain</t>
        </is>
      </c>
      <c r="I79" s="12" t="inlineStr">
        <is>
          <t>sefaria-psalms-75</t>
        </is>
      </c>
    </row>
    <row r="80" ht="250" customHeight="1">
      <c r="A80" s="7">
        <f>IF(LEN(TRIM(F80))=0,"Approved","Comment to address")</f>
        <v/>
      </c>
      <c r="B80" s="8" t="inlineStr">
        <is>
          <t>Psalm 76</t>
        </is>
      </c>
      <c r="C80" s="8" t="inlineStr">
        <is>
          <t>safety</t>
        </is>
      </c>
      <c r="D80" s="8" t="inlineStr">
        <is>
          <t>Scriptural</t>
        </is>
      </c>
      <c r="E80" s="9" t="inlineStr">
        <is>
          <t>לַמְנַצֵּחַ בִּנְגִינֹת מִזְמוֹר לְאָסָף שִׁיר׃
נוֹדָע בִּיהוּדָה אֱלֹהִים בְּיִשְׂרָאֵל גָּדוֹל שְׁמוֹ׃
וַיְהִי בְשָׁלֵם סֻכּוֹ וּמְעוֹנָתוֹ בְצִיּוֹן׃
שָׁמָּה שִׁבַּר רִשְׁפֵי־קָשֶׁת מָגֵן וְחֶרֶב וּמִלְחָמָה סֶלָה׃
נָאוֹר אַתָּה אַדִּיר מֵהַרְרֵי־טָרֶף׃
אֶשְׁתּוֹלְלוּ אַבִּירֵי לֵב נָמוּ שְׁנָתָם וְלֹא־מָצְאוּ כָל־אַנְשֵׁי־חַיִל יְדֵיהֶם׃
מִגַּעֲרָתְךָ אֱלֹהֵי יַעֲקֹב נִרְדָּם וְרֶכֶב וָסוּס׃
אַתָּה נוֹרָא אַתָּה וּמִי־יַעֲמֹד לְפָנֶיךָ מֵאָז אַפֶּךָ׃
מִשָּׁמַיִם הִשְׁמַעְתָּ דִּין אֶרֶץ יָרְאָה וְשָׁקָטָה׃
בְּקוּם־לַמִּשְׁפָּט אֱלֹהִים לְהוֹשִׁיעַ כָּל־עַנְוֵי־אֶרֶץ סֶלָה׃
כִּי־חֲמַת אָדָם תּוֹדֶךָּ שְׁאֵרִית חֵמֹת תַּחְגֹּר׃
נִדֲרוּ וְשַׁלְּמוּ לַיהוָה אֱ‍לֹהֵיכֶם כָּל־סְבִיבָיו יוֹבִילוּ שַׁי לַמּוֹרָא׃
יִבְצֹר רוּחַ נְגִידִים נוֹרָא לְמַלְכֵי־אָרֶץ׃</t>
        </is>
      </c>
      <c r="F80" s="10" t="inlineStr"/>
      <c r="G80" s="11" t="inlineStr">
        <is>
          <t>Psalms 76</t>
        </is>
      </c>
      <c r="H80" s="8" t="inlineStr">
        <is>
          <t>Tanach with Nikkud — Public Domain</t>
        </is>
      </c>
      <c r="I80" s="8" t="inlineStr">
        <is>
          <t>sefaria-psalms-76</t>
        </is>
      </c>
    </row>
    <row r="81" ht="403" customHeight="1">
      <c r="A81" s="7">
        <f>IF(LEN(TRIM(F81))=0,"Approved","Comment to address")</f>
        <v/>
      </c>
      <c r="B81" s="12" t="inlineStr">
        <is>
          <t>Psalm 77</t>
        </is>
      </c>
      <c r="C81" s="12" t="inlineStr">
        <is>
          <t>sleep</t>
        </is>
      </c>
      <c r="D81" s="12" t="inlineStr">
        <is>
          <t>Scriptural</t>
        </is>
      </c>
      <c r="E81" s="13" t="inlineStr">
        <is>
          <t>לַמְנַצֵּחַ עַל־ידיתון [יְדוּתוּן] לְאָסָף מִזְמוֹר׃
קוֹלִי אֶל־אֱלֹהִים וְאֶצְעָקָה קוֹלִי אֶל־אֱלֹהִים וְהַאֲזִין אֵלָי׃
בְּיוֹם צָרָתִי אֲדֹנָי דָּרָשְׁתִּי יָדִי לַיְלָה נִגְּרָה וְלֹא תָפוּג מֵאֲנָה הִנָּחֵם נַפְשִׁי׃
אֶזְכְּרָה אֱלֹהִים וְאֶהֱמָיָה אָשִׂיחָה וְתִתְעַטֵּף רוּחִי סֶלָה׃
אָחַזְתָּ שְׁמֻרוֹת עֵינָי נִפְעַמְתִּי וְלֹא אֲדַבֵּר׃
חִשַּׁבְתִּי יָמִים מִקֶּדֶם שְׁנוֹת עוֹלָמִים׃
אֶזְכְּרָה נְגִינָתִי בַּלָּיְלָה עִם־לְבָבִי אָשִׂיחָה וַיְחַפֵּשׂ רוּחִי׃
הַלְעוֹלָמִים יִזְנַח אֲדֹנָי וְלֹא־יֹסִיף לִרְצוֹת עוֹד׃
הֶאָפֵס לָנֶצַח חַסְדּוֹ גָּמַר אֹמֶר לְדֹר וָדֹר׃
הֲשָׁכַח חַנּוֹת אֵל אִם־קָפַץ בְּאַף רַחֲמָיו סֶלָה׃
וָאֹמַר חַלּוֹתִי הִיא שְׁנוֹת יְמִין עֶלְיוֹן׃
אזכיר [אֶזְכּוֹר] מַעַלְלֵי־יָהּ כִּי־אֶזְכְּרָה מִקֶּדֶם פִּלְאֶךָ׃
וְהָגִיתִי בְכָל־פָּעֳלֶךָ וּבַעֲלִילוֹתֶיךָ אָשִׂיחָה׃
אֱלֹהִים בַּקֹּדֶשׁ דַּרְכֶּךָ מִי־אֵל גָּדוֹל כֵּאלֹהִים׃
אַתָּה הָאֵל עֹשֵׂה פֶלֶא הוֹדַעְתָּ בָעַמִּים עֻזֶּךָ׃
גָּאַלְתָּ בִּזְרוֹעַ עַמֶּךָ בְּנֵי־יַעֲקֹב וְיוֹסֵף סֶלָה׃
רָאוּךָ מַּיִם אֱ‍לֹהִים רָאוּךָ מַּיִם יָחִילוּ אַף יִרְגְּזוּ תְהֹמוֹת׃
זֹרְמוּ מַיִם עָבוֹת קוֹל נָתְנוּ שְׁחָקִים אַף־חֲצָצֶיךָ יִתְהַלָּכוּ׃
קוֹל רַעַמְךָ בַּגַּלְגַּל הֵאִירוּ בְרָקִים תֵּבֵל רָגְזָה וַתִּרְעַשׁ הָאָרֶץ׃
בַּיָּם דַּרְכֶּךָ ושביליך [וּשְׁבִילְךָ] בְּמַיִם רַבִּים וְעִקְּבוֹתֶיךָ לֹא נֹדָעוּ׃
נָחִיתָ כַצֹּאן עַמֶּךָ בְּיַד־מֹשֶׁה וְאַהֲרֹן׃</t>
        </is>
      </c>
      <c r="F81" s="10" t="inlineStr"/>
      <c r="G81" s="14" t="inlineStr">
        <is>
          <t>Psalms 77</t>
        </is>
      </c>
      <c r="H81" s="12" t="inlineStr">
        <is>
          <t>Tanach with Nikkud — Public Domain</t>
        </is>
      </c>
      <c r="I81" s="12" t="inlineStr">
        <is>
          <t>sefaria-psalms-77</t>
        </is>
      </c>
    </row>
    <row r="82" ht="409" customHeight="1">
      <c r="A82" s="7">
        <f>IF(LEN(TRIM(F82))=0,"Approved","Comment to address")</f>
        <v/>
      </c>
      <c r="B82" s="8" t="inlineStr">
        <is>
          <t>Psalm 78</t>
        </is>
      </c>
      <c r="C82" s="8" t="inlineStr">
        <is>
          <t>study</t>
        </is>
      </c>
      <c r="D82" s="8" t="inlineStr">
        <is>
          <t>Scriptural</t>
        </is>
      </c>
      <c r="E82" s="9" t="inlineStr">
        <is>
          <t>מַשְׂכִּיל לְאָסָף הַאֲזִינָה עַמִּי תּוֹרָתִי הַטּוּ אָזְנְכֶם לְאִמְרֵי־פִי׃
אֶפְתְּחָה בְמָשָׁל פִּי אַבִּיעָה חִידוֹת מִנִּי־קֶדֶם׃
אֲשֶׁר שָׁמַעְנוּ וַנֵּדָעֵם וַאֲבוֹתֵינוּ סִפְּרוּ־לָנוּ׃
לֹא נְכַחֵד מִבְּנֵיהֶם לְדוֹר אַחֲרוֹן מְסַפְּרִים תְּהִלּוֹת יְהוָה וֶעֱזוּזוֹ וְנִפְלְאוֹתָיו אֲשֶׁר עָשָׂה׃
וַיָּקֶם עֵדוּת בְּיַעֲקֹב וְתוֹרָה שָׂם בְּיִשְׂרָאֵל אֲשֶׁר צִוָּה אֶת־אֲבוֹתֵינוּ לְהוֹדִיעָם לִבְנֵיהֶם׃
לְמַעַן יֵדְעוּ דּוֹר אַחֲרוֹן בָּנִים יִוָּלֵדוּ יָקֻמוּ וִיסַפְּרוּ לִבְנֵיהֶם׃
וְיָשִׂימוּ בֵאלֹהִים כִּסְלָם וְלֹא יִשְׁכְּחוּ מַעַלְלֵי־אֵל וּמִצְוֺתָיו יִנְצֹרוּ׃
וְלֹא יִהְיוּ כַּאֲבוֹתָם דּוֹר סוֹרֵר וּמֹרֶה דּוֹר לֹא־הֵכִין לִבּוֹ וְלֹא־נֶאֶמְנָה אֶת־אֵל רוּחוֹ׃
בְּנֵי־אֶפְרַיִם נוֹשְׁקֵי רוֹמֵי־קָשֶׁת הָפְכוּ בְּיוֹם קְרָב׃
לֹא שָׁמְרוּ בְּרִית אֱלֹהִים וּבְתוֹרָתוֹ מֵאֲנוּ לָלֶכֶת׃
וַיִּשְׁכְּחוּ עֲלִילוֹתָיו וְנִפְלְאוֹתָיו אֲשֶׁר הֶרְאָם׃
נֶגֶד אֲבוֹתָם עָשָׂה פֶלֶא בְּאֶרֶץ מִצְרַיִם שְׂדֵה־צֹעַן׃
בָּקַע יָם וַיַּעֲבִירֵם וַיַּצֶּב־מַיִם כְּמוֹ־נֵד׃
וַיַּנְחֵם בֶּעָנָן יוֹמָם וְכָל־הַלַּיְלָה בְּאוֹר אֵשׁ׃
יְבַקַּע צֻרִים בַּמִּדְבָּר וַיַּשְׁקְ כִּתְהֹמוֹת רַבָּה׃
וַיּוֹצִא נוֹזְלִים מִסָּלַע וַיּוֹרֶד כַּנְּהָרוֹת מָיִם׃
וַיּוֹסִיפוּ עוֹד לַחֲטֹא־לוֹ לַמְרוֹת עֶלְיוֹן בַּצִּיָּה׃
וַיְנַסּוּ־אֵל בִּלְבָבָם לִשְׁאָל־אֹכֶל לְנַפְשָׁם׃
וַיְדַבְּרוּ בֵּאלֹהִים אָמְרוּ הֲיוּכַל אֵל לַעֲרֹךְ שֻׁלְחָן בַּמִּדְבָּר׃
הֵן הִכָּה־צוּר וַיָּזוּבוּ מַיִם וּנְחָלִים יִשְׁטֹפוּ הֲגַם־לֶחֶם יוּכַל תֵּת אִם־יָכִין שְׁאֵר לְעַמּוֹ׃
לָכֵן שָׁמַע יְהוָה וַיִּתְעַבָּר וְאֵשׁ נִשְּׂקָה בְיַעֲקֹב וְגַם־אַף עָלָה בְיִשְׂרָאֵל׃
כִּי לֹא הֶאֱמִינוּ בֵּאלֹהִים וְלֹא בָטְחוּ בִּישׁוּעָתוֹ׃
וַיְצַו שְׁחָקִים מִמָּעַל וְדַלְתֵי שָׁמַיִם פָּתָח׃
וַיַּמְטֵר עֲלֵיהֶם מָן לֶאֱכֹל וּדְגַן־שָׁמַיִם נָתַן לָמוֹ׃
לֶחֶם אַבִּירִים אָכַל אִישׁ צֵידָה שָׁלַח לָהֶם לָשֹׂבַע׃
יַסַּע קָדִים בַּשָּׁמָיִם וַיְנַהֵג בְּעֻזּוֹ תֵימָן׃
וַיַּמְטֵר עֲלֵיהֶם כֶּעָפָר שְׁאֵר וּכְחוֹל יַמִּים עוֹף כָּנָף׃
וַיַּפֵּל בְּקֶרֶב מַחֲנֵהוּ סָבִיב לְמִשְׁכְּנֹתָיו׃
וַיֹּאכְלוּ וַיִּשְׂבְּעוּ מְאֹד וְתַאֲוָתָם יָבִא לָהֶם׃
לֹא־זָרוּ מִתַּאֲוָתָם עוֹד אָכְלָם בְּפִיהֶם׃
וְאַף אֱלֹהִים עָלָה בָהֶם וַיַּהֲרֹג בְּמִשְׁמַנֵּיהֶם וּבַחוּרֵי יִשְׂרָאֵל הִכְרִיעַ׃
בְּכָל־זֹאת חָטְאוּ־עוֹד וְלֹא־הֶאֱמִינוּ בְּנִפְלְאוֹתָיו׃
וַיְכַל־בַּהֶבֶל יְמֵיהֶם וּשְׁנוֹתָם בַּבֶּהָלָה׃
אִם־הֲרָגָם וּדְרָשׁוּהוּ וְשָׁבוּ וְשִׁחֲרוּ־אֵל׃
וַיִּזְכְּרוּ כִּי־אֱלֹהִים צוּרָם וְאֵל עֶלְיוֹן גֹּאֲלָם׃
וַיְפַתּוּהוּ בְּפִיהֶם וּבִלְשׁוֹנָם יְכַזְּבוּ־לוֹ׃
וְלִבָּם לֹא־נָכוֹן עִמּוֹ וְלֹא נֶאֶמְנוּ בִּבְרִיתוֹ׃
וְהוּא רַחוּם יְכַפֵּר עָוֺן וְלֹא־יַשְׁחִית וְהִרְבָּה לְהָשִׁיב אַפּוֹ וְלֹא־יָעִיר כָּל־חֲמָתוֹ׃
וַיִּזְכֹּר כִּי־בָשָׂר הֵמָּה רוּחַ הוֹלֵךְ וְלֹא יָשׁוּב׃
כַּמָּה יַמְרוּהוּ בַמִּדְבָּר יַעֲצִיבוּהוּ בִּישִׁימוֹן׃
וַיָּשׁוּבוּ וַיְנַסּוּ אֵל וּקְדוֹשׁ יִשְׂרָאֵל הִתְווּ׃
לֹא־זָכְרוּ אֶת־יָדוֹ יוֹם אֲ‍שֶׁר־פָּדָם מִנִּי־צָר׃
אֲשֶׁר־שָׂם בְּמִצְרַיִם אֹתוֹתָיו וּמוֹפְתָיו בִּשְׂדֵה־צֹעַן׃
וַיַּהֲפֹךְ לְדָם יְאֹרֵיהֶם וְנֹזְלֵיהֶם בַּל־יִשְׁתָּיוּן׃
יְשַׁלַּח בָּהֶם עָרֹב וַיֹּאכְלֵם וּצְפַרְדֵּעַ וַתַּשְׁחִיתֵם׃
וַיִּתֵּן לֶחָסִיל יְבוּלָם וִיגִיעָם לָאַרְבֶּה׃
יַהֲרֹג בַּבָּרָד גַּפְנָם וְשִׁקְמוֹתָם בַּחֲנָמַל׃
וַיַּסְגֵּר לַבָּרָד בְּעִירָם וּמִקְנֵיהֶם לָרְשָׁפִים׃
יְשַׁלַּח־בָּם חֲרוֹן אַפּוֹ עֶבְרָה וָזַעַם וְצָרָה מִשְׁלַחַת מַלְאֲכֵי רָעִים׃
יְפַלֵּס נָתִיב לְאַפּוֹ לֹא־חָשַׂךְ מִמָּוֶת נַפְשָׁם וְחַיָּתָם לַדֶּבֶר הִסְגִּיר׃
וַיַּךְ כָּל־בְּכוֹר בְּמִצְרָיִם רֵאשִׁית אוֹנִים בְּאָהֳלֵי־חָם׃
וַיַּסַּע כַּצֹּאן עַמּוֹ וַיְנַהֲגֵם כַּעֵדֶר בַּמִּדְבָּר׃
וַיַּנְחֵם לָבֶטַח וְלֹא פָחָדוּ וְאֶת־אוֹיְבֵיהֶם כִּסָּה הַיָּם׃
וַיְבִיאֵם אֶל־גְּבוּל קָדְשׁוֹ הַר־זֶה קָנְתָה יְמִינוֹ׃
וַיְגָרֶשׁ מִפְּנֵיהֶם גּוֹיִם וַיַּפִּילֵם בְּחֶבֶל נַחֲלָה וַיַּשְׁכֵּן בְּאָהֳלֵיהֶם שִׁבְטֵי יִשְׂרָאֵל׃
וַיְנַסּוּ וַיַּמְרוּ אֶת־אֱלֹהִים עֶלְיוֹן וְעֵדוֹתָיו לֹא שָׁמָרוּ׃
וַיִּסֹּגוּ וַיִּבְגְּדוּ כַּאֲבוֹתָם נֶהְפְּכוּ כְּקֶשֶׁת רְמִיָּה׃
וַיַּכְעִיסוּהוּ בְּבָמוֹתָם וּבִפְסִילֵיהֶם יַקְנִיאוּהוּ׃
שָׁמַע אֱלֹהִים וַיִּתְעַבָּר וַיִּמְאַס מְאֹד בְּיִשְׂרָאֵל׃
וַיִּטֹּשׁ מִשְׁכַּן שִׁלוֹ אֹהֶל שִׁכֵּן בָּאָדָם׃
וַיִּתֵּן לַשְּׁבִי עֻזּוֹ וְתִפְאַרְתּוֹ בְיַד־צָר׃
וַיַּסְגֵּר לַחֶרֶב עַמּוֹ וּבְנַחֲלָתוֹ הִתְעַבָּר׃
בַּחוּרָיו אָכְלָה־אֵשׁ וּבְתוּלֹתָיו לֹא הוּלָּלוּ׃
כֹּהֲנָיו בַּחֶרֶב נָפָלוּ וְאַלְמְנֹתָיו לֹא תִבְכֶּינָה׃
וַיִּקַץ כְּיָשֵׁן אֲדֹנָי כְּגִבּוֹר מִתְרוֹנֵן מִיָּיִן׃
וַיַּךְ־צָרָיו אָחוֹר חֶרְפַּת עוֹלָם נָתַן לָמוֹ׃
וַיִּמְאַס בְּאֹהֶל יוֹסֵף וּבְשֵׁבֶט אֶפְרַיִם לֹא בָחָר׃
וַיִּבְחַר אֶת־שֵׁבֶט יְהוּדָה אֶת־הַר צִיּוֹן אֲשֶׁר אָהֵב׃
וַיִּבֶן כְּמוֹ־רָמִים מִקְדָּשׁוֹ כְּאֶרֶץ יְסָדָהּ לְעוֹלָם׃
וַיִּבְחַר בְּדָוִד עַבְדּוֹ וַיִּקָּחֵהוּ מִמִּכְלְאֹת צֹאן׃
מֵאַחַר עָלוֹת הֱבִיאוֹ לִרְעוֹת בְּיַעֲקֹב עַמּוֹ וּבְיִשְׂרָאֵל נַחֲלָתוֹ׃
וַיִּרְעֵם כְּתֹם לְבָבוֹ וּבִתְבוּנוֹת כַּפָּיו יַנְחֵם׃</t>
        </is>
      </c>
      <c r="F82" s="10" t="inlineStr"/>
      <c r="G82" s="11" t="inlineStr">
        <is>
          <t>Psalms 78</t>
        </is>
      </c>
      <c r="H82" s="8" t="inlineStr">
        <is>
          <t>Tanach with Nikkud — Public Domain</t>
        </is>
      </c>
      <c r="I82" s="8" t="inlineStr">
        <is>
          <t>sefaria-psalms-78</t>
        </is>
      </c>
    </row>
    <row r="83" ht="369" customHeight="1">
      <c r="A83" s="7">
        <f>IF(LEN(TRIM(F83))=0,"Approved","Comment to address")</f>
        <v/>
      </c>
      <c r="B83" s="12" t="inlineStr">
        <is>
          <t>Psalm 79</t>
        </is>
      </c>
      <c r="C83" s="12" t="inlineStr">
        <is>
          <t>mourning</t>
        </is>
      </c>
      <c r="D83" s="12" t="inlineStr">
        <is>
          <t>Scriptural</t>
        </is>
      </c>
      <c r="E83" s="13" t="inlineStr">
        <is>
          <t>מִזְמוֹר לְאָסָף אֱ‍לֹהִים בָּאוּ גוֹיִם בְּנַחֲלָתֶךָ טִמְּאוּ אֶת־הֵיכַל קָדְשֶׁךָ שָׂמוּ אֶת־יְרוּשָׁלִַם לְעִיִּים׃
נָתְנוּ אֶת־נִבְלַת עֲבָדֶיךָ מַאֲכָל לְעוֹף הַשָּׁמָיִם בְּשַׂר חֲסִידֶיךָ לְחַיְתוֹ־אָרֶץ׃
שָׁפְכוּ דָמָם כַּמַּיִם סְבִיבוֹת יְרוּשָׁלִָם וְאֵין קוֹבֵר׃
הָיִינוּ חֶרְפָּה לִשְׁכֵנֵינוּ לַעַג וָקֶלֶס לִסְבִיבוֹתֵינוּ׃
עַד־מָה יְהוָה תֶּאֱנַף לָנֶצַח תִּבְעַר כְּמוֹ־אֵשׁ קִנְאָתֶךָ׃
שְׁפֹךְ חֲמָתְךָ אֶל־הַגּוֹיִם אֲשֶׁר לֹא־יְדָעוּךָ וְעַל מַמְלָכוֹת אֲשֶׁר בְּשִׁמְךָ לֹא קָרָאוּ׃
כִּי אָכַל אֶת־יַעֲקֹב וְאֶת־נָוֵהוּ הֵשַׁמּוּ׃
אַל־תִּזְכָּר־לָנוּ עֲוֺנֹת רִאשֹׁנִים מַהֵר יְקַדְּמוּנוּ רַחֲמֶיךָ כִּי דַלּוֹנוּ מְאֹד׃
עָזְרֵנוּ אֱלֹהֵי יִשְׁעֵנוּ עַל־דְּבַר כְּבוֹד־שְׁמֶךָ וְהַצִּילֵנוּ וְכַפֵּר עַל־חַטֹּאתֵינוּ לְמַעַן שְׁמֶךָ׃
לָמָּה יֹאמְרוּ הַגּוֹיִם אַיֵּה אֱ‍לֹהֵיהֶם יִוָּדַע בגיים [בַּגּוֹיִם] לְעֵינֵינוּ נִקְמַת דַּם־עֲבָדֶיךָ הַשָּׁפוּךְ׃
תָּבוֹא לְפָנֶיךָ אֶנְקַת אָסִיר כְּגֹדֶל זְרוֹעֲךָ הוֹתֵר בְּנֵי תְמוּתָה׃
וְהָשֵׁב לִשְׁכֵנֵינוּ שִׁבְעָתַיִם אֶל־חֵיקָם חֶרְפָּתָם אֲשֶׁר חֵרְפוּךָ אֲדֹנָי׃
וַאֲנַחְנוּ עַמְּךָ וְצֹאן מַרְעִיתֶךָ נוֹדֶה לְּךָ לְעוֹלָם לְדֹר וָדֹר נְסַפֵּר תְּהִלָּתֶךָ׃</t>
        </is>
      </c>
      <c r="F83" s="10" t="inlineStr"/>
      <c r="G83" s="14" t="inlineStr">
        <is>
          <t>Psalms 79</t>
        </is>
      </c>
      <c r="H83" s="12" t="inlineStr">
        <is>
          <t>Tanach with Nikkud — Public Domain</t>
        </is>
      </c>
      <c r="I83" s="12" t="inlineStr">
        <is>
          <t>sefaria-psalms-79</t>
        </is>
      </c>
    </row>
    <row r="84" ht="369" customHeight="1">
      <c r="A84" s="7">
        <f>IF(LEN(TRIM(F84))=0,"Approved","Comment to address")</f>
        <v/>
      </c>
      <c r="B84" s="8" t="inlineStr">
        <is>
          <t>Psalm 80</t>
        </is>
      </c>
      <c r="C84" s="8" t="inlineStr">
        <is>
          <t>source</t>
        </is>
      </c>
      <c r="D84" s="8" t="inlineStr">
        <is>
          <t>Scriptural</t>
        </is>
      </c>
      <c r="E84" s="9" t="inlineStr">
        <is>
          <t>לַמְנַצֵּחַ אֶל־שֹׁשַׁנִּים עֵדוּת לְאָסָף מִזְמוֹר׃
רֹעֵה יִשְׂרָאֵל הַאֲזִינָה נֹהֵג כַּצֹּאן יוֹסֵף יֹשֵׁב הַכְּרוּבִים הוֹפִיעָה׃
לִפְנֵי אֶפְרַיִם וּבִנְיָמִן וּמְנַשֶּׁה עוֹרְרָה אֶת־גְּבוּרָתֶךָ וּלְכָה לִישֻׁעָתָה לָּנוּ׃
אֱלֹהִים הֲשִׁיבֵנוּ וְהָאֵר פָּנֶיךָ וְנִוָּשֵׁעָה׃
יְהוָה אֱלֹהִים צְבָאוֹת עַד־מָתַי עָשַׁנְתָּ בִּתְפִלַּת עַמֶּךָ׃
הֶאֱכַלְתָּם לֶחֶם דִּמְעָה וַתַּשְׁקֵמוֹ בִּדְמָעוֹת שָׁלִישׁ׃
תְּשִׂימֵנוּ מָדוֹן לִשְׁכֵנֵינוּ וְאֹיְבֵינוּ יִלְעֲגוּ־לָמוֹ׃
אֱלֹהִים צְבָאוֹת הֲשִׁיבֵנוּ וְהָאֵר פָּנֶיךָ וְנִוָּשֵׁעָה׃
גֶּפֶן מִמִּצְרַיִם תַּסִּיעַ תְּגָרֵשׁ גּוֹיִם וַתִּטָּעֶהָ׃
פִּנִּיתָ לְפָנֶיהָ וַתַּשְׁרֵשׁ שָׁרָשֶׁיהָ וַתְּמַלֵּא־אָרֶץ׃
כָּסּוּ הָרִים צִלָּהּ וַעֲנָפֶיהָ אַרְזֵי־אֵל׃
תְּשַׁלַּח קְצִירֶהָ עַד־יָם וְאֶל־נָהָר יוֹנְקוֹתֶיהָ׃
לָמָּה פָּרַצְתָּ גְדֵרֶיהָ וְאָרוּהָ כָּל־עֹבְרֵי דָרֶךְ׃
יְכַרְסְמֶנָּה חֲזִיר מִיָּעַר וְזִיז שָׂדַי יִרְעֶנָּה׃
אֱלֹהִים צְבָאוֹת שׁוּב־נָא הַבֵּט מִשָּׁמַיִם וּרְאֵה וּפְקֹד גֶּפֶן זֹאת׃
וְכַנָּה אֲשֶׁר־נָטְעָה יְמִינֶךָ וְעַל־בֵּן אִמַּצְתָּה לָּךְ׃
שְׂרֻפָה בָאֵשׁ כְּסוּחָה מִגַּעֲרַת פָּנֶיךָ יֹאבֵדוּ׃
תְּהִי־יָדְךָ עַל־אִישׁ יְמִינֶךָ עַל־בֶּן־אָדָם אִמַּצְתָּ לָּךְ׃
וְלֹא־נָסוֹג מִמֶּךָּ תְּחַיֵּנוּ וּבְשִׁמְךָ נִקְרָא׃
יְהוָה אֱלֹהִים צְבָאוֹת הֲשִׁיבֵנוּ הָאֵר פָּנֶיךָ וְנִוָּשֵׁעָה׃</t>
        </is>
      </c>
      <c r="F84" s="10" t="inlineStr"/>
      <c r="G84" s="11" t="inlineStr">
        <is>
          <t>Psalms 80</t>
        </is>
      </c>
      <c r="H84" s="8" t="inlineStr">
        <is>
          <t>Tanach with Nikkud — Public Domain</t>
        </is>
      </c>
      <c r="I84" s="8" t="inlineStr">
        <is>
          <t>sefaria-psalms-80</t>
        </is>
      </c>
    </row>
    <row r="85" ht="352" customHeight="1">
      <c r="A85" s="7">
        <f>IF(LEN(TRIM(F85))=0,"Approved","Comment to address")</f>
        <v/>
      </c>
      <c r="B85" s="12" t="inlineStr">
        <is>
          <t>Psalm 81</t>
        </is>
      </c>
      <c r="C85" s="12" t="inlineStr">
        <is>
          <t>success</t>
        </is>
      </c>
      <c r="D85" s="12" t="inlineStr">
        <is>
          <t>Scriptural</t>
        </is>
      </c>
      <c r="E85" s="13" t="inlineStr">
        <is>
          <t>לַמְנַצֵּחַ עַל־הַגִּתִּית לְאָסָף׃
הַרְנִינוּ לֵאלֹהִים עוּזֵּנוּ הָרִיעוּ לֵאלֹהֵי יַעֲקֹב׃
שְׂאוּ־זִמְרָה וּתְנוּ־תֹף כִּנּוֹר נָעִים עִם־נָבֶל׃
תִּקְעוּ בַחֹדֶשׁ שׁוֹפָר בַּכֵּסֶה לְיוֹם חַגֵּנוּ׃
כִּי חֹק לְיִשְׂרָאֵל הוּא מִשְׁפָּט לֵאלֹהֵי יַעֲקֹב׃
עֵדוּת בִּיהוֹסֵף שָׂמוֹ בְּצֵאתוֹ עַל־אֶרֶץ מִצְרָיִם שְׂפַת לֹא־יָדַעְתִּי אֶשְׁמָע׃
הֲסִירוֹתִי מִסֵּבֶל שִׁכְמוֹ כַּפָּיו מִדּוּד תַּעֲבֹרְנָה׃
בַּצָּרָה קָרָאתָ וָאֲחַלְּצֶךָּ אֶעֶנְךָ בְּסֵתֶר רַעַם אֶבְחָנְךָ עַל־מֵי מְרִיבָה סֶלָה׃
שְׁמַע עַמִּי וְאָעִידָה בָּךְ יִשְׂרָאֵל אִם־תִּשְׁמַע־לִי׃
לֹא־יִהְיֶה בְךָ אֵל זָר וְלֹא תִשְׁתַּחֲוֶה לְאֵל נֵכָר׃
אָנֹכִי יְהוָה אֱלֹהֶיךָ הַמַּעַלְךָ מֵאֶרֶץ מִצְרָיִם הַרְחֶב־פִּיךָ וַאֲמַלְאֵהוּ׃
וְלֹא־שָׁמַע עַמִּי לְקוֹלִי וְיִשְׂרָאֵל לֹא־אָבָה לִי׃
וָאֲשַׁלְּחֵהוּ בִּשְׁרִירוּת לִבָּם יֵלְכוּ בְּמוֹעֲצוֹתֵיהֶם׃
לוּ עַמִּי שֹׁמֵעַ לִי יִשְׂרָאֵל בִּדְרָכַי יְהַלֵּכוּ׃
כִּמְעַט אוֹיְבֵיהֶם אַכְנִיעַ וְעַל צָרֵיהֶם אָשִׁיב יָדִי׃
מְשַׂנְאֵי יְהוָה יְכַחֲשׁוּ־לוֹ וִיהִי עִתָּם לְעוֹלָם׃
וַיַּאֲכִילֵהוּ מֵחֵלֶב חִטָּה וּמִצּוּר דְּבַשׁ אַשְׂבִּיעֶךָ׃</t>
        </is>
      </c>
      <c r="F85" s="10" t="inlineStr"/>
      <c r="G85" s="14" t="inlineStr">
        <is>
          <t>Psalms 81</t>
        </is>
      </c>
      <c r="H85" s="12" t="inlineStr">
        <is>
          <t>Tanach with Nikkud — Public Domain</t>
        </is>
      </c>
      <c r="I85" s="12" t="inlineStr">
        <is>
          <t>sefaria-psalms-81</t>
        </is>
      </c>
    </row>
    <row r="86" ht="165" customHeight="1">
      <c r="A86" s="7">
        <f>IF(LEN(TRIM(F86))=0,"Approved","Comment to address")</f>
        <v/>
      </c>
      <c r="B86" s="8" t="inlineStr">
        <is>
          <t>Psalm 82</t>
        </is>
      </c>
      <c r="C86" s="8" t="inlineStr">
        <is>
          <t>source</t>
        </is>
      </c>
      <c r="D86" s="8" t="inlineStr">
        <is>
          <t>Scriptural</t>
        </is>
      </c>
      <c r="E86" s="9" t="inlineStr">
        <is>
          <t>מִזְמוֹר לְאָסָף אֱ‍לֹהִים נִצָּב בַּעֲדַת־אֵל בְּקֶרֶב אֱלֹהִים יִשְׁפֹּט׃
עַד־מָתַי תִּשְׁפְּטוּ־עָוֶל וּפְנֵי רְשָׁעִים תִּשְׂאוּ־סֶלָה׃
שִׁפְטוּ־דַל וְיָתוֹם עָנִי וָרָשׁ הַצְדִּיקוּ׃
פַּלְּטוּ־דַל וְאֶבְיוֹן מִיַּד רְשָׁעִים הַצִּילוּ׃
לֹא יָדְעוּ וְלֹא יָבִינוּ בַּחֲשֵׁכָה יִתְהַלָּכוּ יִמּוֹטוּ כָּל־מוֹסְדֵי אָרֶץ׃
אֲ‍נִי־אָמַרְתִּי אֱלֹהִים אַתֶּם וּבְנֵי עֶלְיוֹן כֻּלְּכֶם׃
אָכֵן כְּאָדָם תְּמוּתוּן וּכְאַחַד הַשָּׂרִים תִּפֹּלוּ׃
קוּמָה אֱלֹהִים שָׁפְטָה הָאָרֶץ כִּי־אַתָּה תִנְחַל בְּכָל־הַגּוֹיִם׃</t>
        </is>
      </c>
      <c r="F86" s="10" t="inlineStr"/>
      <c r="G86" s="11" t="inlineStr">
        <is>
          <t>Psalms 82</t>
        </is>
      </c>
      <c r="H86" s="8" t="inlineStr">
        <is>
          <t>Tanach with Nikkud — Public Domain</t>
        </is>
      </c>
      <c r="I86" s="8" t="inlineStr">
        <is>
          <t>sefaria-psalms-82</t>
        </is>
      </c>
    </row>
    <row r="87" ht="335" customHeight="1">
      <c r="A87" s="7">
        <f>IF(LEN(TRIM(F87))=0,"Approved","Comment to address")</f>
        <v/>
      </c>
      <c r="B87" s="12" t="inlineStr">
        <is>
          <t>Psalm 83</t>
        </is>
      </c>
      <c r="C87" s="12" t="inlineStr">
        <is>
          <t>protection</t>
        </is>
      </c>
      <c r="D87" s="12" t="inlineStr">
        <is>
          <t>Scriptural</t>
        </is>
      </c>
      <c r="E87" s="13" t="inlineStr">
        <is>
          <t>שִׁיר מִזְמוֹר לְאָסָף׃
אֱלֹהִים אַל־דֳּמִי־לָךְ אַל־תֶּחֱרַשׁ וְאַל־תִּשְׁקֹט אֵל׃
כִּי־הִנֵּה אוֹיְבֶיךָ יֶהֱמָיוּן וּמְשַׂנְאֶיךָ נָשְׂאוּ רֹאשׁ׃
עַל־עַמְּךָ יַעֲרִימוּ סוֹד וְיִתְיָעֲצוּ עַל־צְפוּנֶיךָ׃
אָמְרוּ לְכוּ וְנַכְחִידֵם מִגּוֹי וְלֹא־יִזָּכֵר שֵׁם־יִשְׂרָאֵל עוֹד׃
כִּי נוֹעֲצוּ לֵב יַחְדָּו עָלֶיךָ בְּרִית יִכְרֹתוּ׃
אָהֳלֵי אֱדוֹם וְיִשְׁמְעֵאלִים מוֹאָב וְהַגְרִים׃
גְּבָל וְעַמּוֹן וַעֲמָלֵק פְּלֶשֶׁת עִם־יֹשְׁבֵי צוֹר׃
גַּם־אַשּׁוּר נִלְוָה עִמָּם הָיוּ זְרוֹעַ לִבְנֵי־לוֹט סֶלָה׃
עֲשֵׂה־לָהֶם כְּמִדְיָן כְּסִיסְרָא כְיָבִין בְּנַחַל קִישׁוֹן׃
נִשְׁמְדוּ בְעֵין־דֹּאר הָיוּ דֹּמֶן לָאֲדָמָה׃
שִׁיתֵמוֹ נְדִיבֵמוֹ כְּעֹרֵב וְכִזְאֵב וּכְזֶבַח וּכְצַלְמֻנָּע כָּל־נְסִיכֵמוֹ׃
אֲשֶׁר אָמְרוּ נִירֲשָׁה לָּנוּ אֵת נְאוֹת אֱלֹהִים׃
אֱ‍לֹהַי שִׁיתֵמוֹ כַגַּלְגַּל כְּקַשׁ לִפְנֵי־רוּחַ׃
כְּאֵשׁ תִּבְעַר־יָעַר וּכְלֶהָבָה תְּלַהֵט הָרִים׃
כֵּן תִּרְדְּפֵם בְּסַעֲרֶךָ וּבְסוּפָתְךָ תְבַהֲלֵם׃
מַלֵּא פְנֵיהֶם קָלוֹן וִיבַקְשׁוּ שִׁמְךָ יְהוָה׃
יֵבֹשׁוּ וְיִבָּהֲלוּ עֲדֵי־עַד וְיַחְפְּרוּ וְיֹאבֵדוּ׃
וְיֵדְעוּ כִּי־אַתָּה שִׁמְךָ יְהוָה לְבַדֶּךָ עֶלְיוֹן עַל־כָּל־הָאָרֶץ׃</t>
        </is>
      </c>
      <c r="F87" s="10" t="inlineStr"/>
      <c r="G87" s="14" t="inlineStr">
        <is>
          <t>Psalms 83</t>
        </is>
      </c>
      <c r="H87" s="12" t="inlineStr">
        <is>
          <t>Tanach with Nikkud — Public Domain</t>
        </is>
      </c>
      <c r="I87" s="12" t="inlineStr">
        <is>
          <t>sefaria-psalms-83</t>
        </is>
      </c>
    </row>
    <row r="88" ht="301" customHeight="1">
      <c r="A88" s="7">
        <f>IF(LEN(TRIM(F88))=0,"Approved","Comment to address")</f>
        <v/>
      </c>
      <c r="B88" s="8" t="inlineStr">
        <is>
          <t>Psalm 84</t>
        </is>
      </c>
      <c r="C88" s="8" t="inlineStr">
        <is>
          <t>source</t>
        </is>
      </c>
      <c r="D88" s="8" t="inlineStr">
        <is>
          <t>Scriptural</t>
        </is>
      </c>
      <c r="E88" s="9" t="inlineStr">
        <is>
          <t>לַמְנַצֵּחַ עַל־הַגִּתִּית לִבְנֵי־קֹרַח מִזְמוֹר׃
מַה־יְּדִידוֹת מִשְׁכְּנוֹתֶיךָ יְהוָה צְבָאוֹת׃
נִכְסְפָה וְגַם־כָּלְתָה נַפְשִׁי לְחַצְרוֹת יְהוָה לִבִּי וּבְשָׂרִי יְרַנְּנוּ אֶל אֵל־חָי׃
גַּם־צִפּוֹר מָצְאָה בַיִת וּדְרוֹר קֵן לָהּ אֲשֶׁר־שָׁתָה אֶפְרֹחֶיהָ אֶת־מִזְבְּחוֹתֶיךָ יְהוָה צְבָאוֹת מַלְכִּי וֵאלֹהָי׃
אַשְׁרֵי יוֹשְׁבֵי בֵיתֶךָ עוֹד יְהַלְלוּךָ סֶּלָה׃
אַשְׁרֵי אָדָם עוֹז־לוֹ בָךְ מְסִלּוֹת בִּלְבָבָם׃
עֹבְרֵי בְּעֵמֶק הַבָּכָא מַעְיָן יְשִׁיתוּהוּ גַּם־בְּרָכוֹת יַעְטֶה מוֹרֶה׃
יֵלְכוּ מֵחַיִל אֶל־חָיִל יֵרָאֶה אֶל־אֱלֹהִים בְּצִיּוֹן׃
יְהוָה אֱלֹהִים צְבָאוֹת שִׁמְעָה תְפִלָּתִי הַאֲזִינָה אֱלֹהֵי יַעֲקֹב סֶלָה׃
מָגִנֵּנוּ רְאֵה אֱלֹהִים וְהַבֵּט פְּנֵי מְשִׁיחֶךָ׃
כִּי טוֹב־יוֹם בַּחֲצֵרֶיךָ מֵאָלֶף בָּחַרְתִּי הִסְתּוֹפֵף בְּבֵית אֱלֹהַי מִדּוּר בְּאָהֳלֵי־רֶשַׁע׃
כִּי שֶׁמֶשׁ וּמָגֵן יְהוָה אֱלֹהִים חֵן וְכָבוֹד יִתֵּן יְהוָה לֹא יִמְנַע־טוֹב לַהֹלְכִים בְּתָמִים׃
יְהוָה צְבָאוֹת אַשְׁרֵי אָדָם בֹּטֵחַ בָּךְ׃</t>
        </is>
      </c>
      <c r="F88" s="10" t="inlineStr"/>
      <c r="G88" s="11" t="inlineStr">
        <is>
          <t>Psalms 84</t>
        </is>
      </c>
      <c r="H88" s="8" t="inlineStr">
        <is>
          <t>Tanach with Nikkud — Public Domain</t>
        </is>
      </c>
      <c r="I88" s="8" t="inlineStr">
        <is>
          <t>sefaria-psalms-84</t>
        </is>
      </c>
    </row>
    <row r="89" ht="267" customHeight="1">
      <c r="A89" s="7">
        <f>IF(LEN(TRIM(F89))=0,"Approved","Comment to address")</f>
        <v/>
      </c>
      <c r="B89" s="12" t="inlineStr">
        <is>
          <t>Psalm 85</t>
        </is>
      </c>
      <c r="C89" s="12" t="inlineStr">
        <is>
          <t>repentance</t>
        </is>
      </c>
      <c r="D89" s="12" t="inlineStr">
        <is>
          <t>Scriptural</t>
        </is>
      </c>
      <c r="E89" s="13" t="inlineStr">
        <is>
          <t>לַמְנַצֵּחַ לִבְנֵי־קֹרַח מִזְמוֹר׃
רָצִיתָ יְהוָה אַרְצֶךָ שַׁבְתָּ שבות [שְׁבִית] יַעֲקֹב׃
נָשָׂאתָ עֲוֺן עַמֶּךָ כִּסִּיתָ כָל־חַטָּאתָם סֶלָה׃
אָסַפְתָּ כָל־עֶבְרָתֶךָ הֱשִׁיבוֹתָ מֵחֲרוֹן אַפֶּךָ׃
שׁוּבֵנוּ אֱלֹהֵי יִשְׁעֵנוּ וְהָפֵר כַּעַסְךָ עִמָּנוּ׃
הַלְעוֹלָם תֶּאֱנַף־בָּנוּ תִּמְשֹׁךְ אַפְּךָ לְדֹר וָדֹר׃
הֲלֹא־אַתָּה תָּשׁוּב תְּחַיֵּנוּ וְעַמְּךָ יִשְׂמְחוּ־בָךְ׃
הַרְאֵנוּ יְהוָה חַסְדֶּךָ וְיֶשְׁעֲךָ תִּתֶּן־לָנוּ׃
אֶשְׁמְעָה מַה־יְדַבֵּר הָאֵל יְהוָה כִּי יְדַבֵּר שָׁלוֹם אֶל־עַמּוֹ וְאֶל־חֲסִידָיו וְאַל־יָשׁוּבוּ לְכִסְלָה׃
אַךְ קָרוֹב לִירֵאָיו יִשְׁעוֹ לִשְׁכֹּן כָּבוֹד בְּאַרְצֵנוּ׃
חֶסֶד־וֶאֱמֶת נִפְגָּשׁוּ צֶדֶק וְשָׁלוֹם נָשָׁקוּ׃
אֱמֶת מֵאֶרֶץ תִּצְמָח וְצֶדֶק מִשָּׁמַיִם נִשְׁקָף׃
גַּם־יְהוָה יִתֵּן הַטּוֹב וְאַרְצֵנוּ תִּתֵּן יְבוּלָהּ׃
צֶדֶק לְפָנָיו יְהַלֵּךְ וְיָשֵׂם לְדֶרֶךְ פְּעָמָיו׃</t>
        </is>
      </c>
      <c r="F89" s="10" t="inlineStr"/>
      <c r="G89" s="14" t="inlineStr">
        <is>
          <t>Psalms 85</t>
        </is>
      </c>
      <c r="H89" s="12" t="inlineStr">
        <is>
          <t>Tanach with Nikkud — Public Domain</t>
        </is>
      </c>
      <c r="I89" s="12" t="inlineStr">
        <is>
          <t>sefaria-psalms-85</t>
        </is>
      </c>
    </row>
    <row r="90" ht="386" customHeight="1">
      <c r="A90" s="7">
        <f>IF(LEN(TRIM(F90))=0,"Approved","Comment to address")</f>
        <v/>
      </c>
      <c r="B90" s="8" t="inlineStr">
        <is>
          <t>Psalm 86</t>
        </is>
      </c>
      <c r="C90" s="8" t="inlineStr">
        <is>
          <t>health</t>
        </is>
      </c>
      <c r="D90" s="8" t="inlineStr">
        <is>
          <t>Scriptural</t>
        </is>
      </c>
      <c r="E90" s="9" t="inlineStr">
        <is>
          <t>תְּפִלָּה לְדָוִד הַטֵּה־יְהוָה אָזְנְךָ עֲנֵנִי כִּי־עָנִי וְאֶבְיוֹן אָנִי׃
שָׁמְרָה נַפְשִׁי כִּי־חָסִיד אָנִי הוֹשַׁע עַבְדְּךָ אַתָּה אֱלֹהַי הַבּוֹטֵחַ אֵלֶיךָ׃
חָנֵּנִי אֲדֹנָי כִּי אֵלֶיךָ אֶקְרָא כָּל־הַיּוֹם׃
שַׂמֵּחַ נֶפֶשׁ עַבְדֶּךָ כִּי אֵלֶיךָ אֲדֹנָי נַפְשִׁי אֶשָּׂא׃
כִּי־אַתָּה אֲדֹנָי טוֹב וְסַלָּח וְרַב־חֶסֶד לְכָל־קֹרְאֶיךָ׃
הַאֲזִינָה יְהוָה תְּפִלָּתִי וְהַקְשִׁיבָה בְּקוֹל תַּחֲנוּנוֹתָי׃
בְּיוֹם צָרָתִי אֶקְרָאֶךָּ כִּי תַעֲנֵנִי׃
אֵין־כָּמוֹךָ בָאֱלֹהִים אֲדֹנָי וְאֵין כְּמַעֲשֶׂיךָ׃
כָּל־גּוֹיִם אֲשֶׁר עָשִׂיתָ יָבוֹאוּ וְיִשְׁתַּחֲווּ לְפָנֶיךָ אֲדֹנָי וִיכַבְּדוּ לִשְׁמֶךָ׃
כִּי־גָדוֹל אַתָּה וְעֹשֵׂה נִפְלָאוֹת אַתָּה אֱלֹהִים לְבַדֶּךָ׃
הוֹרֵנִי יְהוָה דַּרְכֶּךָ אֲהַלֵּךְ בַּאֲמִתֶּךָ יַחֵד לְבָבִי לְיִרְאָה שְׁמֶךָ׃
אוֹדְךָ אֲדֹנָי אֱלֹהַי בְּכָל־לְבָבִי וַאֲכַבְּדָה שִׁמְךָ לְעוֹלָם׃
כִּי־חַסְדְּךָ גָּדוֹל עָלָי וְהִצַּלְתָּ נַפְשִׁי מִשְּׁאוֹל תַּחְתִּיָּה׃
אֱלֹהִים זֵדִים קָמוּ־עָלַי וַעֲדַת עָרִיצִים בִּקְשׁוּ נַפְשִׁי וְלֹא שָׂמוּךָ לְנֶגְדָּם׃
וְאַתָּה אֲדֹנָי אֵל־רַחוּם וְחַנּוּן אֶרֶךְ אַפַּיִם וְרַב־חֶסֶד וֶאֱמֶת׃
פְּנֵה אֵלַי וְחָנֵּנִי תְּנָה־עֻזְּךָ לְעַבְדֶּךָ וְהוֹשִׁיעָה לְבֶן־אֲמָתֶךָ׃
עֲשֵׂה־עִמִּי אוֹת לְטוֹבָה וְיִרְאוּ שֹׂנְאַי וְיֵבֹשׁוּ כִּי־אַתָּה יְהוָה עֲזַרְתַּנִי וְנִחַמְתָּנִי׃</t>
        </is>
      </c>
      <c r="F90" s="10" t="inlineStr"/>
      <c r="G90" s="11" t="inlineStr">
        <is>
          <t>Psalms 86</t>
        </is>
      </c>
      <c r="H90" s="8" t="inlineStr">
        <is>
          <t>Tanach with Nikkud — Public Domain</t>
        </is>
      </c>
      <c r="I90" s="8" t="inlineStr">
        <is>
          <t>sefaria-psalms-86</t>
        </is>
      </c>
    </row>
    <row r="91" ht="148" customHeight="1">
      <c r="A91" s="7">
        <f>IF(LEN(TRIM(F91))=0,"Approved","Comment to address")</f>
        <v/>
      </c>
      <c r="B91" s="12" t="inlineStr">
        <is>
          <t>Psalm 87</t>
        </is>
      </c>
      <c r="C91" s="12" t="inlineStr">
        <is>
          <t>source</t>
        </is>
      </c>
      <c r="D91" s="12" t="inlineStr">
        <is>
          <t>Scriptural</t>
        </is>
      </c>
      <c r="E91" s="13" t="inlineStr">
        <is>
          <t>לִבְנֵי־קֹרַח מִזְמוֹר שִׁיר יְסוּדָתוֹ בְּהַרְרֵי־קֹדֶשׁ׃
אֹהֵב יְהוָה שַׁעֲרֵי צִיּוֹן מִכֹּל מִשְׁכְּנוֹת יַעֲקֹב׃
נִכְבָּדוֹת מְדֻבָּר בָּךְ עִיר הָאֱלֹהִים סֶלָה׃
אַזְכִּיר רַהַב וּבָבֶל לְיֹדְעָי הִנֵּה פְלֶשֶׁת וְצוֹר עִם־כּוּשׁ זֶה יֻלַּד־שָׁם׃
וּלֲצִיּוֹן יֵאָמַר אִישׁ וְאִישׁ יֻלַּד־בָּהּ וְהוּא יְכוֹנְנֶהָ עֶלְיוֹן׃
יְהוָה יִסְפֹּר בִּכְתוֹב עַמִּים זֶה יֻלַּד־שָׁם סֶלָה׃
וְשָׁרִים כְּחֹלְלִים כָּל־מַעְיָנַי בָּךְ׃</t>
        </is>
      </c>
      <c r="F91" s="10" t="inlineStr"/>
      <c r="G91" s="14" t="inlineStr">
        <is>
          <t>Psalms 87</t>
        </is>
      </c>
      <c r="H91" s="12" t="inlineStr">
        <is>
          <t>Tanach with Nikkud — Public Domain</t>
        </is>
      </c>
      <c r="I91" s="12" t="inlineStr">
        <is>
          <t>sefaria-psalms-87</t>
        </is>
      </c>
    </row>
    <row r="92" ht="386" customHeight="1">
      <c r="A92" s="7">
        <f>IF(LEN(TRIM(F92))=0,"Approved","Comment to address")</f>
        <v/>
      </c>
      <c r="B92" s="8" t="inlineStr">
        <is>
          <t>Psalm 88</t>
        </is>
      </c>
      <c r="C92" s="8" t="inlineStr">
        <is>
          <t>health</t>
        </is>
      </c>
      <c r="D92" s="8" t="inlineStr">
        <is>
          <t>Scriptural</t>
        </is>
      </c>
      <c r="E92" s="9" t="inlineStr">
        <is>
          <t>שִׁיר מִזְמוֹר לִבְנֵי קֹרַח לַמְנַצֵּחַ עַל־מָחֲלַת לְעַנּוֹת מַשְׂכִּיל לְהֵימָן הָאֶזְרָחִי׃
יְהוָה אֱלֹהֵי יְשׁוּעָתִי יוֹם־צָעַקְתִּי בַלַּיְלָה נֶגְדֶּךָ׃
תָּבוֹא לְפָנֶיךָ תְּפִלָּתִי הַטֵּה־אָזְנְךָ לְרִנָּתִי׃
כִּי־שָׂבְעָה בְרָעוֹת נַפְשִׁי וְחַיַּי לִשְׁאוֹל הִגִּיעוּ׃
נֶחְשַׁבְתִּי עִם־יוֹרְדֵי בוֹר הָיִיתִי כְּגֶבֶר אֵין־אֱיָל׃
בַּמֵּתִים חָפְשִׁי כְּמוֹ חֲלָלִים שֹׁכְבֵי קֶבֶר אֲשֶׁר לֹא זְכַרְתָּם עוֹד וְהֵמָּה מִיָּדְךָ נִגְזָרוּ׃
שַׁתַּנִי בְּבוֹר תַּחְתִּיּוֹת בְּמַחֲשַׁכִּים בִּמְצֹלוֹת׃
עָלַי סָמְכָה חֲמָתֶךָ וְכָל־מִשְׁבָּרֶיךָ עִנִּיתָ סֶּלָה׃
הִרְחַקְתָּ מְיֻדָּעַי מִמֶּנִּי שַׁתַּנִי תוֹעֵבוֹת לָמוֹ כָּלֻא וְלֹא אֵצֵא׃
עֵינִי דָאֲבָה מִנִּי עֹנִי קְרָאתִיךָ יְהוָה בְּכָל־יוֹם שִׁטַּחְתִּי אֵלֶיךָ כַפָּי׃
הֲלַמֵּתִים תַּעֲשֶׂה־פֶּלֶא אִם־רְפָאִים יָקוּמוּ יוֹדוּךָ סֶּלָה׃
הַיְסֻפַּר בַּקֶּבֶר חַסְדֶּךָ אֱמוּנָתְךָ בָּאֲבַדּוֹן׃
הֲיִוָּדַע בַּחֹשֶׁךְ פִּלְאֶךָ וְצִדְקָתְךָ בְּאֶרֶץ נְשִׁיָּה׃
וַאֲנִי אֵלֶיךָ יְהוָה שִׁוַּעְתִּי וּבַבֹּקֶר תְּפִלָּתִי תְקַדְּמֶךָּ׃
לָמָה יְהוָה תִּזְנַח נַפְשִׁי תַּסְתִּיר פָּנֶיךָ מִמֶּנִּי׃
עָנִי אֲנִי וְגֹוֵעַ מִנֹּעַר נָשָׂאתִי אֵמֶיךָ אָפוּנָה׃
עָלַי עָבְרוּ חֲרוֹנֶיךָ בִּעוּתֶיךָ צִמְּתוּתֻנִי׃
סַבּוּנִי כַמַּיִם כָּל־הַיּוֹם הִקִּיפוּ עָלַי יָחַד׃
הִרְחַקְתָּ מִמֶּנִּי אֹהֵב וָרֵעַ מְיֻדָּעַי מַחְשָׁךְ׃</t>
        </is>
      </c>
      <c r="F92" s="10" t="inlineStr"/>
      <c r="G92" s="11" t="inlineStr">
        <is>
          <t>Psalms 88</t>
        </is>
      </c>
      <c r="H92" s="8" t="inlineStr">
        <is>
          <t>Tanach with Nikkud — Public Domain</t>
        </is>
      </c>
      <c r="I92" s="8" t="inlineStr">
        <is>
          <t>sefaria-psalms-88</t>
        </is>
      </c>
    </row>
    <row r="93" ht="409" customHeight="1">
      <c r="A93" s="7">
        <f>IF(LEN(TRIM(F93))=0,"Approved","Comment to address")</f>
        <v/>
      </c>
      <c r="B93" s="12" t="inlineStr">
        <is>
          <t>Psalm 89</t>
        </is>
      </c>
      <c r="C93" s="12" t="inlineStr">
        <is>
          <t>health</t>
        </is>
      </c>
      <c r="D93" s="12" t="inlineStr">
        <is>
          <t>Scriptural</t>
        </is>
      </c>
      <c r="E93" s="13" t="inlineStr">
        <is>
          <t>מַשְׂכִּיל לְאֵיתָן הָאֶזְרָחִי׃
חַסְדֵי יְהוָה עוֹלָם אָשִׁירָה לְדֹר וָדֹר אוֹדִיעַ אֱמוּנָתְךָ בְּפִי׃
כִּי־אָמַרְתִּי עוֹלָם חֶסֶד יִבָּנֶה שָׁמַיִם תָּכִן אֱמוּנָתְךָ בָהֶם׃
כָּרַתִּי בְרִית לִבְחִירִי נִשְׁבַּעְתִּי לְדָוִד עַבְדִּי׃
עַד־עוֹלָם אָכִין זַרְעֶךָ וּבָנִיתִי לְדֹר־וָדוֹר כִּסְאֲךָ סֶלָה׃
וְיוֹדוּ שָׁמַיִם פִּלְאֲךָ יְהוָה אַף־אֱמוּנָתְךָ בִּקְהַל קְדֹשִׁים׃
כִּי מִי בַשַּׁחַק יַעֲרֹךְ לַיהוָה יִדְמֶה לַיהוָה בִּבְנֵי אֵלִים׃
אֵל נַעֲרָץ בְּסוֹד־קְדֹשִׁים רַבָּה וְנוֹרָא עַל־כָּל־סְבִיבָיו׃
יְהוָה אֱלֹהֵי צְבָאוֹת מִי־כָמוֹךָ חֲסִין יָהּ וֶאֱמוּנָתְךָ סְבִיבוֹתֶיךָ׃
אַתָּה מוֹשֵׁל בְּגֵאוּת הַיָּם בְּשׂוֹא גַלָּיו אַתָּה תְשַׁבְּחֵם׃
אַתָּה דִכִּאתָ כֶחָלָל רָהַב בִּזְרוֹעַ עֻזְּךָ פִּזַּרְתָּ אוֹיְבֶיךָ׃
לְךָ שָׁמַיִם אַף־לְךָ אָרֶץ תֵּבֵל וּמְלֹאָהּ אַתָּה יְסַדְתָּם׃
צָפוֹן וְיָמִין אַתָּה בְרָאתָם תָּבוֹר וְחֶרְמוֹן בְּשִׁמְךָ יְרַנֵּנוּ׃
לְךָ זְרוֹעַ עִם־גְּבוּרָה תָּעֹז יָדְךָ תָּרוּם יְמִינֶךָ׃
צֶדֶק וּמִשְׁפָּט מְכוֹן כִּסְאֶךָ חֶסֶד וֶאֱמֶת יְקַדְּמוּ פָנֶיךָ׃
אַשְׁרֵי הָעָם יוֹדְעֵי תְרוּעָה יְהוָה בְּאוֹר־פָּנֶיךָ יְהַלֵּכוּן׃
בְּשִׁמְךָ יְגִילוּן כָּל־הַיּוֹם וּבְצִדְקָתְךָ יָרוּמוּ׃
כִּי־תִפְאֶרֶת עֻזָּמוֹ אָתָּה וּבִרְצֹנְךָ תרים [תָּרוּם] קַרְנֵנוּ׃
כִּי לַיהוָה מָגִנֵּנוּ וְלִקְדוֹשׁ יִשְׂרָאֵל מַלְכֵּנוּ׃
אָז דִּבַּרְתָּ־בְחָזוֹן לַחֲסִידֶיךָ וַתֹּאמֶר שִׁוִּיתִי עֵזֶר עַל־גִּבּוֹר הֲרִימוֹתִי בָחוּר מֵעָם׃
מָצָאתִי דָּוִד עַבְדִּי בְּשֶׁמֶן קָדְשִׁי מְשַׁחְתִּיו׃
אֲשֶׁר יָדִי תִּכּוֹן עִמּוֹ אַף־זְרוֹעִי תְאַמְּצֶנּוּ׃
לֹא־יַשִּׁא אוֹיֵב בּוֹ וּבֶן־עַוְלָה לֹא יְעַנֶּנּוּ׃
וְכַתּוֹתִי מִפָּנָיו צָרָיו וּמְשַׂנְאָיו אֶגּוֹף׃
וֶאֶמוּנָתִי וְחַסְדִּי עִמּוֹ וּבִשְׁמִי תָּרוּם קַרְנוֹ׃
וְשַׂמְתִּי בַיָּם יָדוֹ וּבַנְּהָרוֹת יְמִינוֹ׃
הוּא יִקְרָאֵנִי אָבִי אָתָּה אֵלִי וְצוּר יְשׁוּעָתִי׃
אַף־אָנִי בְּכוֹר אֶתְּנֵהוּ עֶלְיוֹן לְמַלְכֵי־אָרֶץ׃
לְעוֹלָם אשמור־[אֶשְׁמָר־] לוֹ חַסְדִּי וּבְרִיתִי נֶאֱמֶנֶת לוֹ׃
וְשַׂמְתִּי לָעַד זַרְעוֹ וְכִסְאוֹ כִּימֵי שָׁמָיִם׃
אִם־יַעַזְבוּ בָנָיו תּוֹרָתִי וּבְמִשְׁפָּטַי לֹא יֵלֵכוּן׃
אִם־חֻקֹּתַי יְחַלֵּלוּ וּמִצְוֺתַי לֹא יִשְׁמֹרוּ׃
וּפָקַדְתִּי בְשֵׁבֶט פִּשְׁעָם וּבִנְגָעִים עֲוֺנָם׃
וְחַסְדִּי לֹא־אָפִיר מֵעִמּוֹ וְלֹא־אֲשַׁקֵּר בֶּאֱמוּנָתִי׃
לֹא־אֲחַלֵּל בְּרִיתִי וּמוֹצָא שְׂפָתַי לֹא אֲשַׁנֶּה׃
אַחַת נִשְׁבַּעְתִּי בְקָדְשִׁי אִם־לְדָוִד אֲכַזֵּב׃
זַרְעוֹ לְעוֹלָם יִהְיֶה וְכִסְאוֹ כַשֶּׁמֶשׁ נֶגְדִּי׃
כְּיָרֵחַ יִכּוֹן עוֹלָם וְעֵד בַּשַּׁחַק נֶאֱמָן סֶלָה׃
וְאַתָּה זָנַחְתָּ וַתִּמְאָס הִתְעַבַּרְתָּ עִם־מְשִׁיחֶךָ׃
נֵאַרְתָּה בְּרִית עַבְדֶּךָ חִלַּלְתָּ לָאָרֶץ נִזְרוֹ׃
פָּרַצְתָּ כָל־גְּדֵרֹתָיו שַׂמְתָּ מִבְצָרָיו מְחִתָּה׃
שַׁסֻּהוּ כָּל־עֹבְרֵי דָרֶךְ הָיָה חֶרְפָּה לִשְׁכֵנָיו׃
הֲרִימוֹתָ יְמִין צָרָיו הִשְׂמַחְתָּ כָּל־אוֹיְבָיו׃
אַף־תָּשִׁיב צוּר חַרְבּוֹ וְלֹא הֲקֵימֹתוֹ בַּמִּלְחָמָה׃
הִשְׁבַּתָּ מִטְּהָרוֹ וְכִסְאוֹ לָאָרֶץ מִגַּרְתָּה׃
הִקְצַרְתָּ יְמֵי עֲלוּמָיו הֶעֱטִיתָ עָלָיו בּוּשָׁה סֶלָה׃
עַד־מָה יְהוָה תִּסָּתֵר לָנֶצַח תִּבְעַר כְּמוֹ־אֵשׁ חֲמָתֶךָ׃
זְכָר־אֲנִי מֶה־חָלֶד עַל־מַה־שָּׁוְא בָּרָאתָ כָל־בְּנֵי־אָדָם׃
מִי גֶבֶר יִחְיֶה וְלֹא יִרְאֶה־מָּוֶת יְמַלֵּט נַפְשׁוֹ מִיַּד־שְׁאוֹל סֶלָה׃
אַיֵּה חֲסָדֶיךָ הָרִאשֹׁנִים אֲדֹנָי נִשְׁבַּעְתָּ לְדָוִד בֶּאֱמוּנָתֶךָ׃
זְכֹר אֲדֹנָי חֶרְפַּת עֲבָדֶיךָ שְׂאֵתִי בְחֵיקִי כָּל־רַבִּים עַמִּים׃
אֲשֶׁר חֵרְפוּ אוֹיְבֶיךָ יְהוָה אֲשֶׁר חֵרְפוּ עִקְּבוֹת מְשִׁיחֶךָ׃
בָּרוּךְ יְהוָה לְעוֹלָם אָמֵן וְאָמֵן׃</t>
        </is>
      </c>
      <c r="F93" s="10" t="inlineStr"/>
      <c r="G93" s="14" t="inlineStr">
        <is>
          <t>Psalms 89</t>
        </is>
      </c>
      <c r="H93" s="12" t="inlineStr">
        <is>
          <t>Tanach with Nikkud — Public Domain</t>
        </is>
      </c>
      <c r="I93" s="12" t="inlineStr">
        <is>
          <t>sefaria-psalms-89</t>
        </is>
      </c>
    </row>
    <row r="94" ht="386" customHeight="1">
      <c r="A94" s="7">
        <f>IF(LEN(TRIM(F94))=0,"Approved","Comment to address")</f>
        <v/>
      </c>
      <c r="B94" s="8" t="inlineStr">
        <is>
          <t>Psalm 90</t>
        </is>
      </c>
      <c r="C94" s="8" t="inlineStr">
        <is>
          <t>health</t>
        </is>
      </c>
      <c r="D94" s="8" t="inlineStr">
        <is>
          <t>Scriptural</t>
        </is>
      </c>
      <c r="E94" s="9" t="inlineStr">
        <is>
          <t>תְּפִלָּה לְמֹשֶׁה אִישׁ־הָאֱלֹהִים אֲ‍דֹנָי מָעוֹן אַתָּה הָיִיתָ לָּנוּ בְּדֹר וָדֹר׃
בְּטֶרֶם הָרִים יֻלָּדוּ וַתְּחוֹלֵל אֶרֶץ וְתֵבֵל וּמֵעוֹלָם עַד־עוֹלָם אַתָּה אֵל׃
תָּשֵׁב אֱנוֹשׁ עַד־דַּכָּא וַתֹּאמֶר שׁוּבוּ בְנֵי־אָדָם׃
כִּי אֶלֶף שָׁנִים בְּעֵינֶיךָ כְּיוֹם אֶתְמוֹל כִּי יַעֲבֹר וְאַשְׁמוּרָה בַלָּיְלָה׃
זְרַמְתָּם שֵׁנָה יִהְיוּ בַּבֹּקֶר כֶּחָצִיר יַחֲלֹף׃
בַּבֹּקֶר יָצִיץ וְחָלָף לָעֶרֶב יְמוֹלֵל וְיָבֵשׁ׃
כִּי־כָלִינוּ בְאַפֶּךָ וּבַחֲמָתְךָ נִבְהָלְנוּ׃
שת [שַׁתָּה] עֲוֺנֹתֵינוּ לְנֶגְדֶּךָ עֲלֻמֵנוּ לִמְאוֹר פָּנֶיךָ׃
כִּי כָל־יָמֵינוּ פָּנוּ בְעֶבְרָתֶךָ כִּלִּינוּ שָׁנֵינוּ כְמוֹ־הֶגֶה׃
יְמֵי־שְׁנוֹתֵינוּ בָהֶם שִׁבְעִים שָׁנָה וְאִם בִּגְבוּרֹת שְׁמוֹנִים שָׁנָה וְרָהְבָּם עָמָל וָאָוֶן כִּי־גָז חִישׁ וַנָּעֻפָה׃
מִי־יוֹדֵעַ עֹז אַפֶּךָ וּכְיִרְאָתְךָ עֶבְרָתֶךָ׃
לִמְנוֹת יָמֵינוּ כֵּן הוֹדַע וְנָבִא לְבַב חָכְמָה׃
שׁוּבָה יְהוָה עַד־מָתָי וְהִנָּחֵם עַל־עֲבָדֶיךָ׃
שַׂבְּעֵנוּ בַבֹּקֶר חַסְדֶּךָ וּנְרַנְּנָה וְנִשְׂמְחָה בְּכָל־יָמֵינוּ׃
שַׂמְּחֵנוּ כִּימוֹת עִנִּיתָנוּ שְׁנוֹת רָאִינוּ רָעָה׃
יֵרָאֶה אֶל־עֲבָדֶיךָ פָעֳלֶךָ וַהֲדָרְךָ עַל־בְּנֵיהֶם׃
וִיהִי נֹעַם אֲדֹנָי אֱלֹהֵינוּ עָלֵינוּ וּמַעֲשֵׂה יָדֵינוּ כּוֹנְנָה עָלֵינוּ וּמַעֲשֵׂה יָדֵינוּ כּוֹנְנֵהוּ׃</t>
        </is>
      </c>
      <c r="F94" s="10" t="inlineStr"/>
      <c r="G94" s="11" t="inlineStr">
        <is>
          <t>Psalms 90</t>
        </is>
      </c>
      <c r="H94" s="8" t="inlineStr">
        <is>
          <t>Tanach with Nikkud — Public Domain</t>
        </is>
      </c>
      <c r="I94" s="8" t="inlineStr">
        <is>
          <t>sefaria-psalms-90</t>
        </is>
      </c>
    </row>
    <row r="95" ht="284" customHeight="1">
      <c r="A95" s="7">
        <f>IF(LEN(TRIM(F95))=0,"Approved","Comment to address")</f>
        <v/>
      </c>
      <c r="B95" s="12" t="inlineStr">
        <is>
          <t>Psalm 91</t>
        </is>
      </c>
      <c r="C95" s="12" t="inlineStr">
        <is>
          <t>protection</t>
        </is>
      </c>
      <c r="D95" s="12" t="inlineStr">
        <is>
          <t>Scriptural</t>
        </is>
      </c>
      <c r="E95" s="13" t="inlineStr">
        <is>
          <t>יֹשֵׁב בְּסֵתֶר עֶלְיוֹן בְּצֵל שַׁדַּי יִתְלוֹנָן׃
אֹמַר לַיהוָה מַחְסִי וּמְצוּדָתִי אֱלֹהַי אֶבְטַח־בּוֹ׃
כִּי הוּא יַצִּילְךָ מִפַּח יָקוּשׁ מִדֶּבֶר הַוּוֹת׃
בְּאֶבְרָתוֹ יָסֶךְ לָךְ וְתַחַת־כְּנָפָיו תֶּחְסֶה צִנָּה וְסֹחֵרָה אֲמִתּוֹ׃
לֹא־תִירָא מִפַּחַד לָיְלָה מֵחֵץ יָעוּף יוֹמָם׃
מִדֶּבֶר בָּאֹפֶל יַהֲלֹךְ מִקֶּטֶב יָשׁוּד צָהֳרָיִם׃
יִפֹּל מִצִּדְּךָ אֶלֶף וּרְבָבָה מִימִינֶךָ אֵלֶיךָ לֹא יִגָּשׁ׃
רַק בְּעֵינֶיךָ תַבִּיט וְשִׁלֻּמַת רְשָׁעִים תִּרְאֶה׃
כִּי־אַתָּה יְהוָה מַחְסִי עֶלְיוֹן שַׂמְתָּ מְעוֹנֶךָ׃
לֹא־תְאֻנֶּה אֵלֶיךָ רָעָה וְנֶגַע לֹא־יִקְרַב בְּאָהֳלֶךָ׃
כִּי מַלְאָכָיו יְצַוֶּה־לָּךְ לִשְׁמָרְךָ בְּכָל־דְּרָכֶיךָ׃
עַל־כַּפַּיִם יִשָּׂאוּנְךָ פֶּן־תִּגֹּף בָּאֶבֶן רַגְלֶךָ׃
עַל־שַׁחַל וָפֶתֶן תִּדְרֹךְ תִּרְמֹס כְּפִיר וְתַנִּין׃
כִּי בִי חָשַׁק וַאֲפַלְּטֵהוּ אֲשַׂגְּבֵהוּ כִּי־יָדַע שְׁמִי׃
יִקְרָאֵנִי וְאֶעֱנֵהוּ עִמּוֹ־אָנֹכִי בְצָרָה אֲחַלְּצֵהוּ וַאֲכַבְּדֵהוּ׃
אֹרֶךְ יָמִים אַשְׂבִּיעֵהוּ וְאַרְאֵהוּ בִּישׁוּעָתִי׃</t>
        </is>
      </c>
      <c r="F95" s="10" t="inlineStr"/>
      <c r="G95" s="14" t="inlineStr">
        <is>
          <t>Psalms 91</t>
        </is>
      </c>
      <c r="H95" s="12" t="inlineStr">
        <is>
          <t>Tanach with Nikkud — Public Domain</t>
        </is>
      </c>
      <c r="I95" s="12" t="inlineStr">
        <is>
          <t>sefaria-psalms-91</t>
        </is>
      </c>
    </row>
    <row r="96" ht="318" customHeight="1">
      <c r="A96" s="7">
        <f>IF(LEN(TRIM(F96))=0,"Approved","Comment to address")</f>
        <v/>
      </c>
      <c r="B96" s="8" t="inlineStr">
        <is>
          <t>Psalm 92</t>
        </is>
      </c>
      <c r="C96" s="8" t="inlineStr">
        <is>
          <t>shabbat</t>
        </is>
      </c>
      <c r="D96" s="8" t="inlineStr">
        <is>
          <t>Scriptural</t>
        </is>
      </c>
      <c r="E96" s="9" t="inlineStr">
        <is>
          <t>מִזְמוֹר שִׁיר לְיוֹם הַשַּׁבָּת׃
טוֹב לְהֹדוֹת לַיהוָה וּלְזַמֵּר לְשִׁמְךָ עֶלְיוֹן׃
לְהַגִּיד בַּבֹּקֶר חַסְדֶּךָ וֶאֱמוּנָתְךָ בַּלֵּילוֹת׃
עֲ‍לֵי־עָשׂוֹר וַעֲלֵי־נָבֶל עֲלֵי הִגָּיוֹן בְּכִנּוֹר׃
כִּי שִׂמַּחְתַּנִי יְהוָה בְּפָעֳלֶךָ בְּמַעֲשֵׂי יָדֶיךָ אֲרַנֵּן׃
מַה־גָּדְלוּ מַעֲשֶׂיךָ יְהוָה מְאֹד עָמְקוּ מַחְשְׁבֹתֶיךָ׃
אִישׁ־בַּעַר לֹא יֵדָע וּכְסִיל לֹא־יָבִין אֶת־זֹאת׃
בִּפְרֹחַ רְשָׁעִים כְּמוֹ עֵשֶׂב וַיָּצִיצוּ כָּל־פֹּעֲלֵי אָוֶן לְהִשָּׁמְדָם עֲדֵי־עַד׃
וְאַתָּה מָרוֹם לְעֹלָם יְהוָה׃
כִּי הִנֵּה אֹיְבֶיךָ יְהוָה כִּי־הִנֵּה אֹיְבֶיךָ יֹאבֵדוּ יִתְפָּרְדוּ כָּל־פֹּעֲלֵי אָוֶן׃
וַתָּרֶם כִּרְאֵים קַרְנִי בַּלֹּתִי בְּשֶׁמֶן רַעֲנָן׃
וַתַּבֵּט עֵינִי בְּשׁוּרָי בַּקָּמִים עָלַי מְרֵעִים תִּשְׁמַעְנָה אָזְנָי׃
צַדִּיק כַּתָּמָר יִפְרָח כְּאֶרֶז בַּלְּבָנוֹן יִשְׂגֶּה׃
שְׁתוּלִים בְּבֵית יְהוָה בְּחַצְרוֹת אֱלֹהֵינוּ יַפְרִיחוּ׃
עוֹד יְנוּבוּן בְּשֵׂיבָה דְּשֵׁנִים וְרַעֲנַנִּים יִהְיוּ׃
לְהַגִּיד כִּי־יָשָׁר יְהוָה צוּרִי וְלֹא־עלתה [עַוְלָתָה] בּוֹ׃</t>
        </is>
      </c>
      <c r="F96" s="10" t="inlineStr"/>
      <c r="G96" s="11" t="inlineStr">
        <is>
          <t>Psalms 92</t>
        </is>
      </c>
      <c r="H96" s="8" t="inlineStr">
        <is>
          <t>Tanach with Nikkud — Public Domain</t>
        </is>
      </c>
      <c r="I96" s="8" t="inlineStr">
        <is>
          <t>sefaria-psalms-92</t>
        </is>
      </c>
    </row>
    <row r="97" ht="114" customHeight="1">
      <c r="A97" s="7">
        <f>IF(LEN(TRIM(F97))=0,"Approved","Comment to address")</f>
        <v/>
      </c>
      <c r="B97" s="12" t="inlineStr">
        <is>
          <t>Psalm 93</t>
        </is>
      </c>
      <c r="C97" s="12" t="inlineStr">
        <is>
          <t>protection</t>
        </is>
      </c>
      <c r="D97" s="12" t="inlineStr">
        <is>
          <t>Scriptural</t>
        </is>
      </c>
      <c r="E97" s="13" t="inlineStr">
        <is>
          <t>יְהוָה מָלָךְ גֵּאוּת לָבֵשׁ לָבֵשׁ יְהוָה עֹז הִתְאַזָּר אַף־תִּכּוֹן תֵּבֵל בַּל־תִּמּוֹט׃
נָכוֹן כִּסְאֲךָ מֵאָז מֵעוֹלָם אָתָּה׃
נָשְׂאוּ נְהָרוֹת יְהוָה נָשְׂאוּ נְהָרוֹת קוֹלָם יִשְׂאוּ נְהָרוֹת דָּכְיָם׃
מִקֹּלוֹת מַיִם רַבִּים אַדִּירִים מִשְׁבְּרֵי־יָם אַדִּיר בַּמָּרוֹם יְהוָה׃
עֵדֹתֶיךָ נֶאֶמְנוּ מְאֹד לְבֵיתְךָ נַאֲוָה־קֹדֶשׁ יְהוָה לְאֹרֶךְ יָמִים׃</t>
        </is>
      </c>
      <c r="F97" s="10" t="inlineStr"/>
      <c r="G97" s="14" t="inlineStr">
        <is>
          <t>Psalms 93</t>
        </is>
      </c>
      <c r="H97" s="12" t="inlineStr">
        <is>
          <t>Tanach with Nikkud — Public Domain</t>
        </is>
      </c>
      <c r="I97" s="12" t="inlineStr">
        <is>
          <t>sefaria-psalms-93</t>
        </is>
      </c>
    </row>
    <row r="98" ht="409" customHeight="1">
      <c r="A98" s="7">
        <f>IF(LEN(TRIM(F98))=0,"Approved","Comment to address")</f>
        <v/>
      </c>
      <c r="B98" s="8" t="inlineStr">
        <is>
          <t>Psalm 94</t>
        </is>
      </c>
      <c r="C98" s="8" t="inlineStr">
        <is>
          <t>health</t>
        </is>
      </c>
      <c r="D98" s="8" t="inlineStr">
        <is>
          <t>Scriptural</t>
        </is>
      </c>
      <c r="E98" s="9" t="inlineStr">
        <is>
          <t>אֵל־נְקָמוֹת יְהוָה אֵל נְקָמוֹת הוֹפִיַע׃
הִנָּשֵׂא שֹׁפֵט הָאָרֶץ הָשֵׁב גְּמוּל עַל־גֵּאִים׃
עַד־מָתַי רְשָׁעִים יְהוָה עַד־מָתַי רְשָׁעִים יַעֲלֹזוּ׃
יַבִּיעוּ יְדַבְּרוּ עָתָק יִתְאַמְּרוּ כָּל־פֹּעֲלֵי אָוֶן׃
עַמְּךָ יְהוָה יְדַכְּאוּ וְנַחֲלָתְךָ יְעַנּוּ׃
אַלְמָנָה וְגֵר יַהֲרֹגוּ וִיתוֹמִים יְרַצֵּחוּ׃
וַיֹּאמְרוּ לֹא יִרְאֶה־יָּהּ וְלֹא־יָבִין אֱלֹהֵי יַעֲקֹב׃
בִּינוּ בֹּעֲרִים בָּעָם וּכְסִילִים מָתַי תַּשְׂכִּילוּ׃
הֲנֹטַע אֹזֶן הֲלֹא יִשְׁמָע אִם־יֹצֵר עַיִן הֲלֹא יַבִּיט׃
הֲיֹסֵר גּוֹיִם הֲלֹא יוֹכִיחַ הַמְלַמֵּד אָדָם דָּעַת׃
יְהוָה יֹדֵעַ מַחְשְׁבוֹת אָדָם כִּי־הֵמָּה הָבֶל׃
אַשְׁרֵי הַגֶּבֶר אֲשֶׁר־תְּיַסְּרֶנּוּ יָּהּ וּמִתּוֹרָתְךָ תְלַמְּדֶנּוּ׃
לְהַשְׁקִיט לוֹ מִימֵי רָע עַד יִכָּרֶה לָרָשָׁע שָׁחַת׃
כִּי לֹא־יִטֹּשׁ יְהוָה עַמּוֹ וְנַחֲלָתוֹ לֹא יַעֲזֹב׃
כִּי־עַד־צֶדֶק יָשׁוּב מִשְׁפָּט וְאַחֲרָיו כָּל־יִשְׁרֵי־לֵב׃
מִי־יָקוּם לִי עִם־מְרֵעִים מִי־יִתְיַצֵּב לִי עִם־פֹּעֲלֵי אָוֶן׃
לוּלֵי יְהוָה עֶזְרָתָה לִּי כִּמְעַט שָׁכְנָה דוּמָה נַפְשִׁי׃
אִם־אָמַרְתִּי מָטָה רַגְלִי חַסְדְּךָ יְהוָה יִסְעָדֵנִי׃
בְּרֹב שַׂרְעַפַּי בְּקִרְבִּי תַּנְחוּמֶיךָ יְשַׁעַשְׁעוּ נַפְשִׁי׃
הַיְחָבְרְךָ כִּסֵּא הַוּוֹת יֹצֵר עָמָל עֲלֵי־חֹק׃
יָגוֹדּוּ עַל־נֶפֶשׁ צַדִּיק וְדָם נָקִי יַרְשִׁיעוּ׃
וַיְהִי יְהוָה לִי לְמִשְׂגָּב וֵאלֹהַי לְצוּר מַחְסִי׃
וַיָּשֶׁב עֲלֵיהֶם אֶת־אוֹנָם וּבְרָעָתָם יַצְמִיתֵם יַצְמִיתֵם יְהוָה אֱלֹהֵינוּ׃</t>
        </is>
      </c>
      <c r="F98" s="10" t="inlineStr"/>
      <c r="G98" s="11" t="inlineStr">
        <is>
          <t>Psalms 94</t>
        </is>
      </c>
      <c r="H98" s="8" t="inlineStr">
        <is>
          <t>Tanach with Nikkud — Public Domain</t>
        </is>
      </c>
      <c r="I98" s="8" t="inlineStr">
        <is>
          <t>sefaria-psalms-94</t>
        </is>
      </c>
    </row>
    <row r="99" ht="233" customHeight="1">
      <c r="A99" s="7">
        <f>IF(LEN(TRIM(F99))=0,"Approved","Comment to address")</f>
        <v/>
      </c>
      <c r="B99" s="12" t="inlineStr">
        <is>
          <t>Psalm 95</t>
        </is>
      </c>
      <c r="C99" s="12" t="inlineStr">
        <is>
          <t>thanks</t>
        </is>
      </c>
      <c r="D99" s="12" t="inlineStr">
        <is>
          <t>Scriptural</t>
        </is>
      </c>
      <c r="E99" s="13" t="inlineStr">
        <is>
          <t>לְכוּ נְרַנְּנָה לַיהוָה נָרִיעָה לְצוּר יִשְׁעֵנוּ׃
נְקַדְּמָה פָנָיו בְּתוֹדָה בִּזְמִרוֹת נָרִיעַ לוֹ׃
כִּי אֵל גָּדוֹל יְהוָה וּמֶלֶךְ גָּדוֹל עַל־כָּל־אֱלֹהִים׃
אֲשֶׁר בְּיָדוֹ מֶחְקְרֵי־אָרֶץ וְתוֹעֲפוֹת הָרִים לוֹ׃
אֲשֶׁר־לוֹ הַיָּם וְהוּא עָשָׂהוּ וְיַבֶּשֶׁת יָדָיו יָצָרוּ׃
בֹּאוּ נִשְׁתַּחֲוֶה וְנִכְרָעָה נִבְרְכָה לִפְנֵי־יְהוָה עֹשֵׂנוּ׃
כִּי הוּא אֱלֹהֵינוּ וַאֲנַחְנוּ עַם מַרְעִיתוֹ וְצֹאן יָדוֹ הַיּוֹם אִם־בְּקֹלוֹ תִשְׁמָעוּ׃
אַל־תַּקְשׁוּ לְבַבְכֶם כִּמְרִיבָה כְּיוֹם מַסָּה בַּמִּדְבָּר׃
אֲשֶׁר נִסּוּנִי אֲבוֹתֵיכֶם בְּחָנוּנִי גַּם־רָאוּ פָעֳלִי׃
אַרְבָּעִים שָׁנָה אָקוּט בְּדוֹר וָאֹמַר עַם תֹּעֵי לֵבָב הֵם וְהֵם לֹא־יָדְעוּ דְרָכָי׃
אֲשֶׁר־נִשְׁבַּעְתִּי בְאַפִּי אִם־יְבֹאוּן אֶל־מְנוּחָתִי׃</t>
        </is>
      </c>
      <c r="F99" s="10" t="inlineStr"/>
      <c r="G99" s="14" t="inlineStr">
        <is>
          <t>Psalms 95</t>
        </is>
      </c>
      <c r="H99" s="12" t="inlineStr">
        <is>
          <t>Tanach with Nikkud — Public Domain</t>
        </is>
      </c>
      <c r="I99" s="12" t="inlineStr">
        <is>
          <t>sefaria-psalms-95</t>
        </is>
      </c>
    </row>
    <row r="100" ht="267" customHeight="1">
      <c r="A100" s="7">
        <f>IF(LEN(TRIM(F100))=0,"Approved","Comment to address")</f>
        <v/>
      </c>
      <c r="B100" s="8" t="inlineStr">
        <is>
          <t>Psalm 96</t>
        </is>
      </c>
      <c r="C100" s="8" t="inlineStr">
        <is>
          <t>thanks</t>
        </is>
      </c>
      <c r="D100" s="8" t="inlineStr">
        <is>
          <t>Scriptural</t>
        </is>
      </c>
      <c r="E100" s="9" t="inlineStr">
        <is>
          <t>שִׁירוּ לַיהוָה שִׁיר חָדָשׁ שִׁירוּ לַיהוָה כָּל־הָאָרֶץ׃
שִׁירוּ לַיהוָה בָּרֲכוּ שְׁמוֹ בַּשְּׂרוּ מִיּוֹם־לְיוֹם יְשׁוּעָתוֹ׃
סַפְּרוּ בַגּוֹיִם כְּבוֹדוֹ בְּכָל־הָעַמִּים נִפְלְאוֹתָיו׃
כִּי גָדוֹל יְהוָה וּמְהֻלָּל מְאֹד נוֹרָא הוּא עַל־כָּל־אֱלֹהִים׃
כִּי כָּל־אֱלֹהֵי הָעַמִּים אֱלִילִים וַיהוָה שָׁמַיִם עָשָׂה׃
הוֹד־וְהָדָר לְפָנָיו עֹז וְתִפְאֶרֶת בְּמִקְדָּשׁוֹ׃
הָבוּ לַיהוָה מִשְׁפְּחוֹת עַמִּים הָבוּ לַיהוָה כָּבוֹד וָעֹז׃
הָבוּ לַיהוָה כְּבוֹד שְׁמוֹ שְׂאוּ־מִנְחָה וּבֹאוּ לְחַצְרוֹתָיו׃
הִשְׁתַּחֲווּ לַיהוָה בְּהַדְרַת־קֹדֶשׁ חִילוּ מִפָּנָיו כָּל־הָאָרֶץ׃
אִמְרוּ בַגּוֹיִם יְהוָה מָלָךְ אַף־תִּכּוֹן תֵּבֵל בַּל־תִּמּוֹט יָדִין עַמִּים בְּמֵישָׁרִים׃
יִשְׂמְחוּ הַשָּׁמַיִם וְתָגֵל הָאָרֶץ יִרְעַם הַיָּם וּמְלֹאוֹ׃
יַעֲלֹז שָׂדַי וְכָל־אֲשֶׁר־בּוֹ אָז יְרַנְּנוּ כָּל־עֲצֵי־יָעַר׃
לִפְנֵי יְהוָה כִּי בָא כִּי בָא לִשְׁפֹּט הָאָרֶץ יִשְׁפֹּט־תֵּבֵל בְּצֶדֶק וְעַמִּים בֶּאֱמוּנָתוֹ׃</t>
        </is>
      </c>
      <c r="F100" s="10" t="inlineStr"/>
      <c r="G100" s="11" t="inlineStr">
        <is>
          <t>Psalms 96</t>
        </is>
      </c>
      <c r="H100" s="8" t="inlineStr">
        <is>
          <t>Tanach with Nikkud — Public Domain</t>
        </is>
      </c>
      <c r="I100" s="8" t="inlineStr">
        <is>
          <t>sefaria-psalms-96</t>
        </is>
      </c>
    </row>
    <row r="101" ht="267" customHeight="1">
      <c r="A101" s="7">
        <f>IF(LEN(TRIM(F101))=0,"Approved","Comment to address")</f>
        <v/>
      </c>
      <c r="B101" s="12" t="inlineStr">
        <is>
          <t>Psalm 97</t>
        </is>
      </c>
      <c r="C101" s="12" t="inlineStr">
        <is>
          <t>thanks</t>
        </is>
      </c>
      <c r="D101" s="12" t="inlineStr">
        <is>
          <t>Scriptural</t>
        </is>
      </c>
      <c r="E101" s="13" t="inlineStr">
        <is>
          <t>יְהוָה מָלָךְ תָּגֵל הָאָרֶץ יִשְׂמְחוּ אִיִּים רַבִּים׃
עָנָן וַעֲרָפֶל סְבִיבָיו צֶדֶק וּמִשְׁפָּט מְכוֹן כִּסְאוֹ׃
אֵשׁ לְפָנָיו תֵּלֵךְ וּתְלַהֵט סָבִיב צָרָיו׃
הֵאִירוּ בְרָקָיו תֵּבֵל רָאֲתָה וַתָּחֵל הָאָרֶץ׃
הָרִים כַּדּוֹנַג נָמַסּוּ מִלִּפְנֵי יְהוָה מִלִּפְנֵי אֲדוֹן כָּל־הָאָרֶץ׃
הִגִּידוּ הַשָּׁמַיִם צִדְקוֹ וְרָאוּ כָל־הָעַמִּים כְּבוֹדוֹ׃
יֵבֹשׁוּ כָּל־עֹבְדֵי פֶסֶל הַמִּתְהַלְלִים בָּאֱלִילִים הִשְׁתַּחֲווּ־לוֹ כָּל־אֱלֹהִים׃
שָׁמְעָה וַתִּשְׂמַח צִיּוֹן וַתָּגֵלְנָה בְּנוֹת יְהוּדָה לְמַעַן מִשְׁפָּטֶיךָ יְהוָה׃
כִּי־אַתָּה יְהוָה עֶלְיוֹן עַל־כָּל־הָאָרֶץ מְאֹד נַעֲלֵיתָ עַל־כָּל־אֱלֹהִים׃
אֹהֲבֵי יְהוָה שִׂנְאוּ רָע שֹׁמֵר נַפְשׁוֹת חֲסִידָיו מִיַּד רְשָׁעִים יַצִּילֵם׃
אוֹר זָרֻעַ לַצַּדִּיק וּלְיִשְׁרֵי־לֵב שִׂמְחָה׃
שִׂמְחוּ צַדִּיקִים בַּיהוָה וְהוֹדוּ לְזֵכֶר קָדְשׁוֹ׃</t>
        </is>
      </c>
      <c r="F101" s="10" t="inlineStr"/>
      <c r="G101" s="14" t="inlineStr">
        <is>
          <t>Psalms 97</t>
        </is>
      </c>
      <c r="H101" s="12" t="inlineStr">
        <is>
          <t>Tanach with Nikkud — Public Domain</t>
        </is>
      </c>
      <c r="I101" s="12" t="inlineStr">
        <is>
          <t>sefaria-psalms-97</t>
        </is>
      </c>
    </row>
    <row r="102" ht="216" customHeight="1">
      <c r="A102" s="7">
        <f>IF(LEN(TRIM(F102))=0,"Approved","Comment to address")</f>
        <v/>
      </c>
      <c r="B102" s="8" t="inlineStr">
        <is>
          <t>Psalm 98</t>
        </is>
      </c>
      <c r="C102" s="8" t="inlineStr">
        <is>
          <t>thanks</t>
        </is>
      </c>
      <c r="D102" s="8" t="inlineStr">
        <is>
          <t>Scriptural</t>
        </is>
      </c>
      <c r="E102" s="9" t="inlineStr">
        <is>
          <t>מִזְמוֹר שִׁירוּ לַיהוָה שִׁיר חָדָשׁ כִּי־נִפְלָאוֹת עָשָׂה הוֹשִׁיעָה־לּוֹ יְמִינוֹ וּזְרוֹעַ קָדְשׁוֹ׃
הוֹדִיעַ יְהוָה יְשׁוּעָתוֹ לְעֵינֵי הַגּוֹיִם גִּלָּה צִדְקָתוֹ׃
זָכַר חַסְדּוֹ וֶאֱמוּנָתוֹ לְבֵית יִשְׂרָאֵל רָאוּ כָל־אַפְסֵי־אָרֶץ אֵת יְשׁוּעַת אֱלֹהֵינוּ׃
הָרִיעוּ לַיהוָה כָּל־הָאָרֶץ פִּצְחוּ וְרַנְּנוּ וְזַמֵּרוּ׃
זַמְּרוּ לַיהוָה בְּכִנּוֹר בְּכִנּוֹר וְקוֹל זִמְרָה׃
בַּחֲצֹצְרוֹת וְקוֹל שׁוֹפָר הָרִיעוּ לִפְנֵי הַמֶּלֶךְ יְהוָה׃
יִרְעַם הַיָּם וּמְלֹאוֹ תֵּבֵל וְיֹשְׁבֵי בָהּ׃
נְהָרוֹת יִמְחֲאוּ־כָף יַחַד הָרִים יְרַנֵּנוּ׃
לִפְנֵי־יְהוָה כִּי בָא לִשְׁפֹּט הָאָרֶץ יִשְׁפֹּט־תֵּבֵל בְּצֶדֶק וְעַמִּים בְּמֵישָׁרִים׃</t>
        </is>
      </c>
      <c r="F102" s="10" t="inlineStr"/>
      <c r="G102" s="11" t="inlineStr">
        <is>
          <t>Psalms 98</t>
        </is>
      </c>
      <c r="H102" s="8" t="inlineStr">
        <is>
          <t>Tanach with Nikkud — Public Domain</t>
        </is>
      </c>
      <c r="I102" s="8" t="inlineStr">
        <is>
          <t>sefaria-psalms-98</t>
        </is>
      </c>
    </row>
    <row r="103" ht="233" customHeight="1">
      <c r="A103" s="7">
        <f>IF(LEN(TRIM(F103))=0,"Approved","Comment to address")</f>
        <v/>
      </c>
      <c r="B103" s="12" t="inlineStr">
        <is>
          <t>Psalm 99</t>
        </is>
      </c>
      <c r="C103" s="12" t="inlineStr">
        <is>
          <t>source</t>
        </is>
      </c>
      <c r="D103" s="12" t="inlineStr">
        <is>
          <t>Scriptural</t>
        </is>
      </c>
      <c r="E103" s="13" t="inlineStr">
        <is>
          <t>יְהוָה מָלָךְ יִרְגְּזוּ עַמִּים יֹשֵׁב כְּרוּבִים תָּנוּט הָאָרֶץ׃
יְהוָה בְּצִיּוֹן גָּדוֹל וְרָם הוּא עַל־כָּל־הָעַמִּים׃
יוֹדוּ שִׁמְךָ גָּדוֹל וְנוֹרָא קָדוֹשׁ הוּא׃
וְעֹז מֶלֶךְ מִשְׁפָּט אָהֵב אַתָּה כּוֹנַנְתָּ מֵישָׁרִים מִשְׁפָּט וּצְדָקָה בְּיַעֲקֹב אַתָּה עָשִׂיתָ׃
רוֹמְמוּ יְהוָה אֱלֹהֵינוּ וְהִשְׁתַּחֲווּ לַהֲדֹם רַגְלָיו קָדוֹשׁ הוּא׃
מֹשֶׁה וְאַהֲרֹן בְּכֹהֲנָיו וּשְׁמוּאֵל בְּקֹרְאֵי שְׁמוֹ קֹרִאים אֶל־יְהוָה וְהוּא יַעֲנֵם׃
בְּעַמּוּד עָנָן יְדַבֵּר אֲלֵיהֶם שָׁמְרוּ עֵדֹתָיו וְחֹק נָתַן־לָמוֹ׃
יְהוָה אֱלֹהֵינוּ אַתָּה עֲנִיתָם אֵל נֹשֵׂא הָיִיתָ לָהֶם וְנֹקֵם עַל־עֲלִילוֹתָם׃
רוֹמְמוּ יְהוָה אֱלֹהֵינוּ וְהִשְׁתַּחֲווּ לְהַר קָדְשׁוֹ כִּי־קָדוֹשׁ יְהוָה אֱלֹהֵינוּ׃</t>
        </is>
      </c>
      <c r="F103" s="10" t="inlineStr"/>
      <c r="G103" s="14" t="inlineStr">
        <is>
          <t>Psalms 99</t>
        </is>
      </c>
      <c r="H103" s="12" t="inlineStr">
        <is>
          <t>Tanach with Nikkud — Public Domain</t>
        </is>
      </c>
      <c r="I103" s="12" t="inlineStr">
        <is>
          <t>sefaria-psalms-99</t>
        </is>
      </c>
    </row>
    <row r="104" ht="114" customHeight="1">
      <c r="A104" s="7">
        <f>IF(LEN(TRIM(F104))=0,"Approved","Comment to address")</f>
        <v/>
      </c>
      <c r="B104" s="8" t="inlineStr">
        <is>
          <t>Psalm 100</t>
        </is>
      </c>
      <c r="C104" s="8" t="inlineStr">
        <is>
          <t>thanks</t>
        </is>
      </c>
      <c r="D104" s="8" t="inlineStr">
        <is>
          <t>Scriptural</t>
        </is>
      </c>
      <c r="E104" s="9" t="inlineStr">
        <is>
          <t>מִזְמוֹר לְתוֹדָה הָרִיעוּ לַיהוָה כָּל־הָאָרֶץ׃
עִבְדוּ אֶת־יְהוָה בְּשִׂמְחָה בֹּאוּ לְפָנָיו בִּרְנָנָה׃
דְּעוּ כִּי־יְהוָה הוּא אֱלֹהִים הוּא־עָשָׂנוּ ולא [וְלוֹ] אֲנַחְנוּ עַמּוֹ וְצֹאן מַרְעִיתוֹ׃
בֹּאוּ שְׁעָרָיו בְּתוֹדָה חֲצֵרֹתָיו בִּתְהִלָּה הוֹדוּ־לוֹ בָּרֲכוּ שְׁמוֹ׃
כִּי־טוֹב יְהֹוָה לְעוֹלָם חַסְדּוֹ וְעַד־דֹּר וָדֹר אֱמוּנָתוֹ׃</t>
        </is>
      </c>
      <c r="F104" s="10" t="inlineStr"/>
      <c r="G104" s="11" t="inlineStr">
        <is>
          <t>Psalms 100</t>
        </is>
      </c>
      <c r="H104" s="8" t="inlineStr">
        <is>
          <t>Tanach with Nikkud — Public Domain</t>
        </is>
      </c>
      <c r="I104" s="8" t="inlineStr">
        <is>
          <t>sefaria-psalms-100</t>
        </is>
      </c>
    </row>
    <row r="105" ht="250" customHeight="1">
      <c r="A105" s="7">
        <f>IF(LEN(TRIM(F105))=0,"Approved","Comment to address")</f>
        <v/>
      </c>
      <c r="B105" s="12" t="inlineStr">
        <is>
          <t>Psalm 101</t>
        </is>
      </c>
      <c r="C105" s="12" t="inlineStr">
        <is>
          <t>study</t>
        </is>
      </c>
      <c r="D105" s="12" t="inlineStr">
        <is>
          <t>Scriptural</t>
        </is>
      </c>
      <c r="E105" s="13" t="inlineStr">
        <is>
          <t>לְדָוִד מִזְמוֹר חֶסֶד־וּמִשְׁפָּט אָשִׁירָה לְךָ יְהוָה אֲזַמֵּרָה׃
אַשְׂכִּילָה בְּדֶרֶךְ תָּמִים מָתַי תָּבוֹא אֵלָי אֶתְהַלֵּךְ בְּתָם־לְבָבִי בְּקֶרֶב בֵּיתִי׃
לֹא־אָשִׁית לְנֶגֶד עֵינַי דְּבַר־בְּלִיָּעַל עֲשֹׂה־סֵטִים שָׂנֵאתִי לֹא יִדְבַּק בִּי׃
לֵבָב עִקֵּשׁ יָסוּר מִמֶּנִּי רָע לֹא אֵדָע׃
מלושני [מְלָשְׁנִי] בַסֵּתֶר רֵעֵהוּ אוֹתוֹ אַצְמִית גְּבַהּ־עֵינַיִם וּרְחַב לֵבָב אֹתוֹ לֹא אוּכָל׃
עֵינַי בְּנֶאֶמְנֵי־אֶרֶץ לָשֶׁבֶת עִמָּדִי הֹלֵךְ בְּדֶרֶךְ תָּמִים הוּא יְשָׁרְתֵנִי׃
לֹא־יֵשֵׁב בְּקֶרֶב בֵּיתִי עֹשֵׂה רְמִיָּה דֹּבֵר שְׁקָרִים לֹא־יִכּוֹן לְנֶגֶד עֵינָי׃
לַבְּקָרִים אַצְמִית כָּל־רִשְׁעֵי־אָרֶץ לְהַכְרִית מֵעִיר־יְהוָה כָּל־פֹּעֲלֵי אָוֶן׃</t>
        </is>
      </c>
      <c r="F105" s="10" t="inlineStr"/>
      <c r="G105" s="14" t="inlineStr">
        <is>
          <t>Psalms 101</t>
        </is>
      </c>
      <c r="H105" s="12" t="inlineStr">
        <is>
          <t>Tanach with Nikkud — Public Domain</t>
        </is>
      </c>
      <c r="I105" s="12" t="inlineStr">
        <is>
          <t>sefaria-psalms-101</t>
        </is>
      </c>
    </row>
    <row r="106" ht="409" customHeight="1">
      <c r="A106" s="7">
        <f>IF(LEN(TRIM(F106))=0,"Approved","Comment to address")</f>
        <v/>
      </c>
      <c r="B106" s="8" t="inlineStr">
        <is>
          <t>Psalm 102</t>
        </is>
      </c>
      <c r="C106" s="8" t="inlineStr">
        <is>
          <t>health</t>
        </is>
      </c>
      <c r="D106" s="8" t="inlineStr">
        <is>
          <t>Scriptural</t>
        </is>
      </c>
      <c r="E106" s="9" t="inlineStr">
        <is>
          <t>תְּפִלָּה לְעָנִי כִי־יַעֲטֹף וְלִפְנֵי יְהוָה יִשְׁפֹּךְ שִׂיחוֹ׃
יְהוָה שִׁמְעָה תְפִלָּתִי וְשַׁוְעָתִי אֵלֶיךָ תָבוֹא׃
אַל־תַּסְתֵּר פָּנֶיךָ מִמֶּנִּי בְּיוֹם צַר לִי הַטֵּה־אֵלַי אָזְנֶךָ בְּיוֹם אֶקְרָא מַהֵר עֲנֵנִי׃
כִּי־כָלוּ בְעָשָׁן יָמָי וְעַצְמוֹתַי כְּמוֹ־קֵד נִחָרוּ׃
הוּכָּה־כָעֵשֶׂב וַיִּבַשׁ לִבִּי כִּי־שָׁכַחְתִּי מֵאֲכֹל לַחְמִי׃
מִקּוֹל אַנְחָתִי דָּבְקָה עַצְמִי לִבְשָׂרִי׃
דָּמִיתִי לִקְאַת מִדְבָּר הָיִיתִי כְּכוֹס חֳרָבוֹת׃
שָׁקַדְתִּי וָאֶהְיֶה כְּצִפּוֹר בּוֹדֵד עַל־גָּג׃
כָּל־הַיּוֹם חֵרְפוּנִי אוֹיְבָי מְהוֹלָלַי בִּי נִשְׁבָּעוּ׃
כִּי־אֵפֶר כַּלֶּחֶם אָכָלְתִּי וְשִׁקֻּוַי בִּבְכִי מָסָכְתִּי׃
מִפְּנֵי־זַעַמְךָ וְקִצְפֶּךָ כִּי נְשָׂאתַנִי וַתַּשְׁלִיכֵנִי׃
יָמַי כְּצֵל נָטוּי וַאֲנִי כָּעֵשֶׂב אִיבָשׁ׃
וְאַתָּה יְהוָה לְעוֹלָם תֵּשֵׁב וְזִכְרְךָ לְדֹר וָדֹר׃
אַתָּה תָקוּם תְּרַחֵם צִיּוֹן כִּי־עֵת לְחֶנְנָהּ כִּי־בָא מוֹעֵד׃
כִּי־רָצוּ עֲבָדֶיךָ אֶת־אֲבָנֶיהָ וְאֶת־עֲפָרָהּ יְחֹנֵנוּ׃
וְיִירְאוּ גוֹיִם אֶת־שֵׁם יְהוָה וְכָל־מַלְכֵי הָאָרֶץ אֶת־כְּבוֹדֶךָ׃
כִּי־בָנָה יְהוָה צִיּוֹן נִרְאָה בִּכְבוֹדוֹ׃
פָּנָה אֶל־תְּפִלַּת הָעַרְעָר וְלֹא־בָזָה אֶת־תְּפִלָּתָם׃
תִּכָּתֶב זֹאת לְדוֹר אַחֲרוֹן וְעַם נִבְרָא יְהַלֶּל־יָהּ׃
כִּי־הִשְׁקִיף מִמְּרוֹם קָדְשׁוֹ יְהוָה מִשָּׁמַיִם אֶל־אֶרֶץ הִבִּיט׃
לִשְׁמֹעַ אֶנְקַת אָסִיר לְפַתֵּחַ בְּנֵי תְמוּתָה׃
לְסַפֵּר בְּצִיּוֹן שֵׁם יְהוָה וּתְהִלָּתוֹ בִּירוּשָׁלִָם׃
בְּהִקָּבֵץ עַמִּים יַחְדָּו וּמַמְלָכוֹת לַעֲבֹד אֶת־יְהוָה׃
עִנָּה בַדֶּרֶךְ כחו [כֹּחִי] קִצַּר יָמָי׃
אֹמַר אֵלִי אַל־תַּעֲלֵנִי בַּחֲצִי יָמָי בְּדוֹר דּוֹרִים שְׁנוֹתֶיךָ׃
לְפָנִים הָאָרֶץ יָסַדְתָּ וּמַעֲשֵׂה יָדֶיךָ שָׁמָיִם׃
הֵמָּה יֹאבֵדוּ וְאַתָּה תַעֲמֹד וְכֻלָּם כַּבֶּגֶד יִבְלוּ כַּלְּבוּשׁ תַּחֲלִיפֵם וְיַחֲלֹפוּ׃
וְאַתָּה־הוּא וּשְׁנוֹתֶיךָ לֹא יִתָּמּוּ׃
בְּנֵי־עֲבָדֶיךָ יִשְׁכּוֹנוּ וְזַרְעָם לְפָנֶיךָ יִכּוֹן׃</t>
        </is>
      </c>
      <c r="F106" s="10" t="inlineStr"/>
      <c r="G106" s="11" t="inlineStr">
        <is>
          <t>Psalms 102</t>
        </is>
      </c>
      <c r="H106" s="8" t="inlineStr">
        <is>
          <t>Tanach with Nikkud — Public Domain</t>
        </is>
      </c>
      <c r="I106" s="8" t="inlineStr">
        <is>
          <t>sefaria-psalms-102</t>
        </is>
      </c>
    </row>
    <row r="107" ht="409" customHeight="1">
      <c r="A107" s="7">
        <f>IF(LEN(TRIM(F107))=0,"Approved","Comment to address")</f>
        <v/>
      </c>
      <c r="B107" s="12" t="inlineStr">
        <is>
          <t>Psalm 103</t>
        </is>
      </c>
      <c r="C107" s="12" t="inlineStr">
        <is>
          <t>health</t>
        </is>
      </c>
      <c r="D107" s="12" t="inlineStr">
        <is>
          <t>Scriptural</t>
        </is>
      </c>
      <c r="E107" s="13" t="inlineStr">
        <is>
          <t>לְדָוִד בָּרֲכִי נַפְשִׁי אֶת־יְהוָה וְכָל־קְרָבַי אֶת־שֵׁם קָדְשׁוֹ׃
בָּרֲכִי נַפְשִׁי אֶת־יְהוָה וְאַל־תִּשְׁכְּחִי כָּל־גְּמוּלָיו׃
הַסֹּלֵחַ לְכָל־עֲוֺנֵכִי הָרֹפֵא לְכָל־תַּחֲלֻאָיְכִי׃
הַגּוֹאֵל מִשַּׁחַת חַיָּיְכִי הַמְעַטְּרֵכִי חֶסֶד וְרַחֲמִים׃
הַמַּשְׂבִּיַע בַּטּוֹב עֶדְיֵךְ תִּתְחַדֵּשׁ כַּנֶּשֶׁר נְעוּרָיְכִי׃
עֹשֵׂה צְדָקוֹת יְהוָה וּמִשְׁפָּטִים לְכָל־עֲשׁוּקִים׃
יוֹדִיעַ דְּרָכָיו לְמֹשֶׁה לִבְנֵי יִשְׂרָאֵל עֲלִילוֹתָיו׃
רַחוּם וְחַנּוּן יְהוָה אֶרֶךְ אַפַּיִם וְרַב־חָסֶד׃
לֹא־לָנֶצַח יָרִיב וְלֹא לְעוֹלָם יִטּוֹר׃
לֹא כַחֲטָאֵינוּ עָשָׂה לָנוּ וְלֹא כַעֲוֺנֹתֵינוּ גָּמַל עָלֵינוּ׃
כִּי כִגְבֹהַּ שָׁמַיִם עַל־הָאָרֶץ גָּבַר חַסְדּוֹ עַל־יְרֵאָיו׃
כִּרְחֹק מִזְרָח מִמַּעֲרָב הִרְחִיק מִמֶּנּוּ אֶת־פְּשָׁעֵינוּ׃
כְּרַחֵם אָב עַל־בָּנִים רִחַם יְהוָה עַל־יְרֵאָיו׃
כִּי־הוּא יָדַע יִצְרֵנוּ זָכוּר כִּי־עָפָר אֲנָחְנוּ׃
אֱנוֹשׁ כֶּחָצִיר יָמָיו כְּצִיץ הַשָּׂדֶה כֵּן יָצִיץ׃
כִּי רוּחַ עָבְרָה־בּוֹ וְאֵינֶנּוּ וְלֹא־יַכִּירֶנּוּ עוֹד מְקוֹמוֹ׃
וְחֶסֶד יְהוָה מֵעוֹלָם וְעַד־עוֹלָם עַל־יְרֵאָיו וְצִדְקָתוֹ לִבְנֵי בָנִים׃
לְשֹׁמְרֵי בְרִיתוֹ וּלְזֹכְרֵי פִקֻּדָיו לַעֲשׂוֹתָם׃
יְהוָה בַּשָּׁמַיִם הֵכִין כִּסְאוֹ וּמַלְכוּתוֹ בַּכֹּל מָשָׁלָה׃
בָּרֲכוּ יְהוָה מַלְאָכָיו גִּבֹּרֵי כֹחַ עֹשֵׂי דְבָרוֹ לִשְׁמֹעַ בְּקוֹל דְּבָרוֹ׃
בָּרֲכוּ יְהוָה כָּל־צְבָאָיו מְשָׁרְתָיו עֹשֵׂי רְצוֹנוֹ׃
בָּרֲכוּ יְהוָה כָּל־מַעֲשָׂיו בְּכָל־מְקֹמוֹת מֶמְשַׁלְתּוֹ בָּרֲכִי נַפְשִׁי אֶת־יְהוָה׃</t>
        </is>
      </c>
      <c r="F107" s="10" t="inlineStr"/>
      <c r="G107" s="14" t="inlineStr">
        <is>
          <t>Psalms 103</t>
        </is>
      </c>
      <c r="H107" s="12" t="inlineStr">
        <is>
          <t>Tanach with Nikkud — Public Domain</t>
        </is>
      </c>
      <c r="I107" s="12" t="inlineStr">
        <is>
          <t>sefaria-psalms-103</t>
        </is>
      </c>
    </row>
    <row r="108" ht="409" customHeight="1">
      <c r="A108" s="7">
        <f>IF(LEN(TRIM(F108))=0,"Approved","Comment to address")</f>
        <v/>
      </c>
      <c r="B108" s="8" t="inlineStr">
        <is>
          <t>Psalm 104</t>
        </is>
      </c>
      <c r="C108" s="8" t="inlineStr">
        <is>
          <t>health</t>
        </is>
      </c>
      <c r="D108" s="8" t="inlineStr">
        <is>
          <t>Scriptural</t>
        </is>
      </c>
      <c r="E108" s="9" t="inlineStr">
        <is>
          <t>בָּרֲכִי נַפְשִׁי אֶת־יְהוָה יְהוָה אֱלֹהַי גָּדַלְתָּ מְּאֹד הוֹד וְהָדָר לָבָשְׁתָּ׃
עֹטֶה־אוֹר כַּשַּׂלְמָה נוֹטֶה שָׁמַיִם כַּיְרִיעָה׃
הַמְקָרֶה בַמַּיִם עֲ‍לִיּוֹתָיו הַשָּׂם־עָבִים רְכוּבוֹ הַמְהַלֵּךְ עַל־כַּנְפֵי־רוּחַ׃
עֹשֶׂה מַלְאָכָיו רוּחוֹת מְשָׁרְתָיו אֵשׁ לֹהֵט׃
יָסַד־אֶרֶץ עַל־מְכוֹנֶיהָ בַּל־תִּמּוֹט עוֹלָם וָעֶד׃
תְּהוֹם כַּלְּבוּשׁ כִּסִּיתוֹ עַל־הָרִים יַעַמְדוּ־מָיִם׃
מִן־גַּעֲרָתְךָ יְנוּסוּן מִן־קוֹל רַעַמְךָ יֵחָפֵזוּן׃
יַעֲלוּ הָרִים יֵרְדוּ בְקָעוֹת אֶל־מְקוֹם זֶה יָסַדְתָּ לָהֶם׃
גְּבוּל־שַׂמְתָּ בַּל־יַעֲבֹרוּן בַּל־יְשׁוּבוּן לְכַסּוֹת הָאָרֶץ׃
הַמְשַׁלֵּחַ מַעְיָנִים בַּנְּחָלִים בֵּין הָרִים יְהַלֵּכוּן׃
יַשְׁקוּ כָּל־חַיְתוֹ שָׂדָי יִשְׁבְּרוּ פְרָאִים צְמָאָם׃
עֲלֵיהֶם עוֹף־הַשָּׁמַיִם יִשְׁכּוֹן מִבֵּין עֳפָאיִם יִתְּנוּ־קוֹל׃
מַשְׁקֶה הָרִים מֵעֲלִיּוֹתָיו מִפְּרִי מַעֲשֶׂיךָ תִּשְׂבַּע הָאָרֶץ׃
מַצְמִיחַ חָצִיר לַבְּהֵמָה וְעֵשֶׂב לַעֲבֹדַת הָאָדָם לְהוֹצִיא לֶחֶם מִן־הָאָרֶץ׃
וְיַיִן יְשַׂמַּח לְבַב־אֱנוֹשׁ לְהַצְהִיל פָּנִים מִשָּׁמֶן וְלֶחֶם לְבַב־אֱנוֹשׁ יִסְעָד׃
יִשְׂבְּעוּ עֲצֵי יְהוָה אַרְזֵי לְבָנוֹן אֲשֶׁר נָטָע׃
אֲשֶׁר־שָׁם צִפֳּרִים יְקַנֵּנוּ חֲסִידָה בְּרוֹשִׁים בֵּיתָהּ׃
הָרִים הַגְּבֹהִים לַיְּעֵלִים סְלָעִים מַחְסֶה לַשְׁפַנִּים׃
עָשָׂה יָרֵחַ לְמוֹעֲדִים שֶׁמֶשׁ יָדַע מְבוֹאוֹ׃
תָּשֶׁת־חֹשֶׁךְ וִיהִי לָיְלָה בּוֹ־תִרְמֹשׂ כָּל־חַיְתוֹ־יָעַר׃
הַכְּפִירִים שֹׁאֲגִים לַטָּרֶף וּלְבַקֵּשׁ מֵאֵל אָכְלָם׃
תִּזְרַח הַשֶּׁמֶשׁ יֵאָסֵפוּן וְאֶל־מְעוֹנֹתָם יִרְבָּצוּן׃
יֵצֵא אָדָם לְפָעֳלוֹ וְלַעֲבֹדָתוֹ עֲדֵי־עָרֶב׃
מָה־רַבּוּ מַעֲשֶׂיךָ יְהוָה כֻּלָּם בְּחָכְמָה עָשִׂיתָ מָלְאָה הָאָרֶץ קִנְיָנֶךָ׃
זֶה הַיָּם גָּדוֹל וּרְחַב יָדָיִם שָׁם־רֶמֶשׂ וְאֵין מִסְפָּר חַיּוֹת קְטַנּוֹת עִם־גְּדֹלוֹת׃
שָׁם אֳנִיּוֹת יְהַלֵּכוּן לִוְיָתָן זֶה־יָצַרְתָּ לְשַׂחֶק־בּוֹ׃
כֻּלָּם אֵלֶיךָ יְשַׂבֵּרוּן לָתֵת אָכְלָם בְּעִתּוֹ׃
תִּתֵּן לָהֶם יִלְקֹטוּן תִּפְתַּח יָדְךָ יִשְׂבְּעוּן טוֹב׃
תַּסְתִּיר פָּנֶיךָ יִבָּהֵלוּן תֹּסֵף רוּחָם יִגְוָעוּן וְאֶל־עֲפָרָם יְשׁוּבוּן׃
תְּשַׁלַּח רוּחֲךָ יִבָּרֵאוּן וּתְחַדֵּשׁ פְּנֵי אֲדָמָה׃
יְהִי כְבוֹד יְהוָה לְעוֹלָם יִשְׂמַח יְהוָה בְּמַעֲשָׂיו׃
הַמַּבִּיט לָאָרֶץ וַתִּרְעָד יִגַּע בֶּהָרִים וְיֶעֱשָׁנוּ׃
אָשִׁירָה לַיהוָה בְּחַיָּי אֲזַמְּרָה לֵאלֹהַי בְּעוֹדִי׃
יֶעֱרַב עָלָיו שִׂיחִי אָנֹכִי אֶשְׂמַח בַּיהוָה׃
יִתַּמּוּ חַטָּאִים מִן־הָאָרֶץ וּרְשָׁעִים עוֹד אֵינָם בָּרֲכִי נַפְשִׁי אֶת־יְהוָה הַלְלוּ־יָהּ׃</t>
        </is>
      </c>
      <c r="F108" s="10" t="inlineStr"/>
      <c r="G108" s="11" t="inlineStr">
        <is>
          <t>Psalms 104</t>
        </is>
      </c>
      <c r="H108" s="8" t="inlineStr">
        <is>
          <t>Tanach with Nikkud — Public Domain</t>
        </is>
      </c>
      <c r="I108" s="8" t="inlineStr">
        <is>
          <t>sefaria-psalms-104</t>
        </is>
      </c>
    </row>
    <row r="109" ht="409" customHeight="1">
      <c r="A109" s="7">
        <f>IF(LEN(TRIM(F109))=0,"Approved","Comment to address")</f>
        <v/>
      </c>
      <c r="B109" s="12" t="inlineStr">
        <is>
          <t>Psalm 105</t>
        </is>
      </c>
      <c r="C109" s="12" t="inlineStr">
        <is>
          <t>thanks</t>
        </is>
      </c>
      <c r="D109" s="12" t="inlineStr">
        <is>
          <t>Scriptural</t>
        </is>
      </c>
      <c r="E109" s="13" t="inlineStr">
        <is>
          <t>הוֹדוּ לַיהוָה קִרְאוּ בִּשְׁמוֹ הוֹדִיעוּ בָעַמִּים עֲלִילוֹתָיו׃
שִׁירוּ־לוֹ זַמְּרוּ־לוֹ שִׂיחוּ בְּכָל־נִפְלְאוֹתָיו׃
הִתְהַלְלוּ בְּשֵׁם קָדְשׁוֹ יִשְׂמַח לֵב מְבַקְשֵׁי יְהוָה׃
דִּרְשׁוּ יְהוָה וְעֻזּוֹ בַּקְּשׁוּ פָנָיו תָּמִיד׃
זִכְרוּ נִפְלְאוֹתָיו אֲשֶׁר־עָשָׂה מֹפְתָיו וּמִשְׁפְּטֵי־פִיו׃
זֶרַע אַבְרָהָם עַבְדּוֹ בְּנֵי יַעֲקֹב בְּחִירָיו׃
הוּא יְהוָה אֱלֹהֵינוּ בְּכָל־הָאָרֶץ מִשְׁפָּטָיו׃
זָכַר לְעוֹלָם בְּרִיתוֹ דָּבָר צִוָּה לְאֶלֶף דּוֹר׃
אֲשֶׁר כָּרַת אֶת־אַבְרָהָם וּשְׁבוּעָתוֹ לְיִשְׂחָק׃
וַיַּעֲמִידֶהָ לְיַעֲקֹב לְחֹק לְיִשְׂרָאֵל בְּרִית עוֹלָם׃
לֵאמֹר לְךָ אֶתֵּן אֶת־אֶרֶץ־כְּנָעַן חֶבֶל נַחֲלַתְכֶם׃
בִּהְיוֹתָם מְתֵי מִסְפָּר כִּמְעַט וְגָרִים בָּהּ׃
וַיִּתְהַלְּכוּ מִגּוֹי אֶל־גּוֹי מִמַּמְלָכָה אֶל־עַם אַחֵר׃
לֹא־הִנִּיחַ אָדָם לְעָשְׁקָם וַיּוֹכַח עֲלֵיהֶם מְלָכִים׃
אַל־תִּגְּעוּ בִמְשִׁיחָי וְלִנְבִיאַי אַל־תָּרֵעוּ׃
וַיִּקְרָא רָעָב עַל־הָאָרֶץ כָּל־מַטֵּה־לֶחֶם שָׁבָר׃
שָׁלַח לִפְנֵיהֶם אִישׁ לְעֶבֶד נִמְכַּר יוֹסֵף׃
עִנּוּ בַכֶּבֶל רגליו [רַגְלוֹ] בַּרְזֶל בָּאָה נַפְשׁוֹ׃
עַד־עֵת בֹּא־דְבָרוֹ אִמְרַת יְהוָה צְרָפָתְהוּ׃
שָׁלַח מֶלֶךְ וַיַּתִּירֵהוּ מֹשֵׁל עַמִּים וַיְפַתְּחֵהוּ׃
שָׂמוֹ אָדוֹן לְבֵיתוֹ וּמֹשֵׁל בְּכָל־קִנְיָנוֹ׃
לֶאְסֹר שָׂרָיו בְּנַפְשׁוֹ וּזְקֵנָיו יְחַכֵּם׃
וַיָּבֹא יִשְׂרָאֵל מִצְרָיִם וְיַעֲקֹב גָּר בְּאֶרֶץ־חָם׃
וַיֶּפֶר אֶת־עַמּוֹ מְאֹד וַיַּעֲצִמֵהוּ מִצָּרָיו׃
הָפַךְ לִבָּם לִשְׂנֹא עַמּוֹ לְהִתְנַכֵּל בַּעֲבָדָיו׃
שָׁלַח מֹשֶׁה עַבְדּוֹ אַהֲרֹן אֲשֶׁר בָּחַר־בּוֹ׃
שָׂמוּ־בָם דִּבְרֵי אֹתוֹתָיו וּמֹפְתִים בְּאֶרֶץ חָם׃
שָׁלַח חֹשֶׁךְ וַיַּחְשִׁךְ וְלֹא־מָרוּ אֶת־דברוו [דְּבָרוֹ׃]
הָפַךְ אֶת־מֵימֵיהֶם לְדָם וַיָּמֶת אֶת־דְּגָתָם׃
שָׁרַץ אַרְצָם צְפַרְדְּעִים בְּחַדְרֵי מַלְכֵיהֶם׃
אָמַר וַיָּבֹא עָרֹב כִּנִּים בְּכָל־גְּבוּלָם׃
נָתַן גִּשְׁמֵיהֶם בָּרָד אֵשׁ לֶהָבוֹת בְּאַרְצָם׃
וַיַּךְ גַּפְנָם וּתְאֵנָתָם וַיְשַׁבֵּר עֵץ גְּבוּלָם׃
אָמַר וַיָּבֹא אַרְבֶּה וְיֶלֶק וְאֵין מִסְפָּר׃
וַיֹּאכַל כָּל־עֵשֶׂב בְּאַרְצָם וַיֹּאכַל פְּרִי אַדְמָתָם׃
וַיַּךְ כָּל־בְּכוֹר בְּאַרְצָם רֵאשִׁית לְכָל־אוֹנָם׃
וַיּוֹצִיאֵם בְּכֶסֶף וְזָהָב וְאֵין בִּשְׁבָטָיו כּוֹשֵׁל׃
שָׂמַח מִצְרַיִם בְּצֵאתָם כִּי־נָפַל פַּחְדָּם עֲלֵיהֶם׃
פָּרַשׂ עָנָן לְמָסָךְ וְאֵשׁ לְהָאִיר לָיְלָה׃
שָׁאַל וַיָּבֵא שְׂלָו וְלֶחֶם שָׁמַיִם יַשְׂבִּיעֵם׃
פָּתַח צוּר וַיָּזוּבוּ מָיִם הָלְכוּ בַּצִּיּוֹת נָהָר׃
כִּי־זָכַר אֶת־דְּבַר קָדְשׁוֹ אֶת־אַבְרָהָם עַבְדּוֹ׃
וַיּוֹצִא עַמּוֹ בְשָׂשׂוֹן בְּרִנָּה אֶת־בְּחִירָיו׃
וַיִּתֵּן לָהֶם אַרְצוֹת גּוֹיִם וַעֲמַל לְאֻמִּים יִירָשׁוּ׃
בַּעֲבוּר יִשְׁמְרוּ חֻקָּיו וְתוֹרֹתָיו יִנְצֹרוּ הַלְלוּ־יָהּ׃</t>
        </is>
      </c>
      <c r="F109" s="10" t="inlineStr"/>
      <c r="G109" s="14" t="inlineStr">
        <is>
          <t>Psalms 105</t>
        </is>
      </c>
      <c r="H109" s="12" t="inlineStr">
        <is>
          <t>Tanach with Nikkud — Public Domain</t>
        </is>
      </c>
      <c r="I109" s="12" t="inlineStr">
        <is>
          <t>sefaria-psalms-105</t>
        </is>
      </c>
    </row>
    <row r="110" ht="409" customHeight="1">
      <c r="A110" s="7">
        <f>IF(LEN(TRIM(F110))=0,"Approved","Comment to address")</f>
        <v/>
      </c>
      <c r="B110" s="8" t="inlineStr">
        <is>
          <t>Psalm 106</t>
        </is>
      </c>
      <c r="C110" s="8" t="inlineStr">
        <is>
          <t>repentance</t>
        </is>
      </c>
      <c r="D110" s="8" t="inlineStr">
        <is>
          <t>Scriptural</t>
        </is>
      </c>
      <c r="E110" s="9" t="inlineStr">
        <is>
          <t>הַלְלוּיָהּ הוֹדוּ לַיהוָה כִּי־טוֹב כִּי לְעוֹלָם חַסְדּוֹ׃
מִי יְמַלֵּל גְּבוּרוֹת יְהוָה יַשְׁמִיעַ כָּל־תְּהִלָּתוֹ׃
אַשְׁרֵי שֹׁמְרֵי מִשְׁפָּט עֹשֵׂה צְדָקָה בְכָל־עֵת׃
זָכְרֵנִי יְהוָה בִּרְצוֹן עַמֶּךָ פָּקְדֵנִי בִּישׁוּעָתֶךָ׃
לִרְאוֹת בְּטוֹבַת בְּחִירֶיךָ לִשְׂמֹחַ בְּשִׂמְחַת גּוֹיֶךָ לְהִתְהַלֵּל עִם־נַחֲלָתֶךָ׃
חָטָאנוּ עִם־אֲבוֹתֵינוּ הֶעֱוִינוּ הִרְשָׁעְנוּ׃
אֲבוֹתֵינוּ בְמִצְרַיִם לֹא־הִשְׂכִּילוּ נִפְלְאוֹתֶיךָ לֹא זָכְרוּ אֶת־רֹב חֲסָדֶיךָ וַיַּמְרוּ עַל־יָם בְּיַם־סוּף׃
וַיּוֹשִׁיעֵם לְמַעַן שְׁמוֹ לְהוֹדִיעַ אֶת־גְּבוּרָתוֹ׃
וַיִּגְעַר בְּיַם־סוּף וַיֶּחֱרָב וַיּוֹלִיכֵם בַּתְּהֹמוֹת כַּמִּדְבָּר׃
וַיּוֹשִׁיעֵם מִיַּד שׂוֹנֵא וַיִּגְאָלֵם מִיַּד אוֹיֵב׃
וַיְכַסּוּ־מַיִם צָרֵיהֶם אֶחָד מֵהֶם לֹא נוֹתָר׃
וַיַּאֲמִינוּ בִדְבָרָיו יָשִׁירוּ תְּהִלָּתוֹ׃
מִהֲרוּ שָׁכְחוּ מַעֲשָׂיו לֹא־חִכּוּ לַעֲצָתוֹ׃
וַיִּתְאַוּוּ תַאֲוָה בַּמִּדְבָּר וַיְנַסּוּ־אֵל בִּישִׁימוֹן׃
וַיִּתֵּן לָהֶם שֶׁאֱלָתָם וַיְשַׁלַּח רָזוֹן בְּנַפְשָׁם׃
וַיְקַנְאוּ לְמֹשֶׁה בַּמַּחֲנֶה לְאַהֲרֹן קְדוֹשׁ יְהוָה׃
תִּפְתַּח־אֶרֶץ וַתִּבְלַע דָּתָן וַתְּכַס עַל־עֲדַת אֲבִירָם׃
וַתִּבְעַר־אֵשׁ בַּעֲדָתָם לֶהָבָה תְּלַהֵט רְשָׁעִים׃
יַעֲשׂוּ־עֵגֶל בְּחֹרֵב וַיִּשְׁתַּחֲווּ לְמַסֵּכָה׃
וַיָּמִירוּ אֶת־כְּבוֹדָם בְּתַבְנִית שׁוֹר אֹכֵל עֵשֶׂב׃
שָׁכְחוּ אֵל מוֹשִׁיעָם עֹשֶׂה גְדֹלוֹת בְּמִצְרָיִם׃
נִפְלָאוֹת בְּאֶרֶץ חָם נוֹרָאוֹת עַל־יַם־סוּף׃
וַיֹּאמֶר לְהַשְׁמִידָם לוּלֵי מֹשֶׁה בְחִירוֹ עָמַד בַּפֶּרֶץ לְפָנָיו לְהָשִׁיב חֲמָתוֹ מֵהַשְׁחִית׃
וַיִּמְאֲסוּ בְּאֶרֶץ חֶמְדָּה לֹא־הֶאֱמִינוּ לִדְבָרוֹ׃
וַיֵּרָגְנוּ בְאָהֳלֵיהֶם לֹא שָׁמְעוּ בְּקוֹל יְהוָה׃
וַיִּשָּׂא יָדוֹ לָהֶם לְהַפִּיל אוֹתָם בַּמִּדְבָּר׃
וּלְהַפִּיל זַרְעָם בַּגּוֹיִם וּלְזָרוֹתָם בָּאֲרָצוֹת׃
וַיִּצָּמְדוּ לְבַעַל פְּעוֹר וַיֹּאכְלוּ זִבְחֵי מֵתִים׃
וַיַּכְעִיסוּ בְּמַעַלְלֵיהֶם וַתִּפְרָץ־בָּם מַגֵּפָה׃
וַיַּעֲמֹד פִּינְחָס וַיְפַלֵּל וַתֵּעָצַר הַמַּגֵּפָה׃
וַתֵּחָשֶׁב לוֹ לִצְדָקָה לְדֹר וָדֹר עַד־עוֹלָם׃
וַיַּקְצִיפוּ עַל־מֵי מְרִיבָה וַיֵּרַע לְמֹשֶׁה בַּעֲבוּרָם׃
כִּי־הִמְרוּ אֶת־רוּחוֹ וַיְבַטֵּא בִּשְׂפָתָיו׃
לֹא־הִשְׁמִידוּ אֶת־הָעַמִּים אֲשֶׁר אָמַר יְהוָה לָהֶם׃
וַיִּתְעָרְבוּ בַגּוֹיִם וַיִּלְמְדוּ מַעֲשֵׂיהֶם׃
וַיַּעַבְדוּ אֶת־עֲצַבֵּיהֶם וַיִּהְיוּ לָהֶם לְמוֹקֵשׁ׃
וַיִּזְבְּחוּ אֶת־בְּנֵיהֶם וְאֶת־בְּנוֹתֵיהֶם לַשֵּׁדִים׃
וַיִּשְׁפְּכוּ דָם נָקִי דַּם־בְּנֵיהֶם וּבְנוֹתֵיהֶם אֲשֶׁר זִבְּחוּ לַעֲצַבֵּי כְנָעַן וַתֶּחֱנַף הָאָרֶץ בַּדָּמִים׃
וַיִּטְמְאוּ בְמַעֲשֵׂיהֶם וַיִּזְנוּ בְּמַעַלְלֵיהֶם׃
וַיִּחַר־אַף יְהוָה בְּעַמּוֹ וַיְתָעֵב אֶת־נַחֲלָתוֹ׃
וַיִּתְּנֵם בְּיַד־גּוֹיִם וַיִּמְשְׁלוּ בָהֶם שֹׂנְאֵיהֶם׃
וַיִּלְחָצוּם אוֹיְבֵיהֶם וַיִּכָּנְעוּ תַּחַת יָדָם׃
פְּעָמִים רַבּוֹת יַצִּילֵם וְהֵמָּה יַמְרוּ בַעֲצָתָם וַיָּמֹכּוּ בַּעֲוֺנָם׃
וַיַּרְא בַּצַּר לָהֶם בְּשָׁמְעוֹ אֶת־רִנָּתָם׃
וַיִּזְכֹּר לָהֶם בְּרִיתוֹ וַיִּנָּחֵם כְּרֹב חסדו [חֲסָדָיו׃]
וַיִּתֵּן אוֹתָם לְרַחֲמִים לִפְנֵי כָּל־שׁוֹבֵיהֶם׃
הוֹשִׁיעֵנוּ יְהוָה אֱלֹהֵינוּ וְקַבְּצֵנוּ מִן־הַגּוֹיִם לְהֹדוֹת לְשֵׁם קָדְשֶׁךָ לְהִשְׁתַּבֵּחַ בִּתְהִלָּתֶךָ׃
בָּרוּךְ־יְהוָה אֱלֹהֵי יִשְׂרָאֵל מִן־הָעוֹלָם וְעַד הָעוֹלָם וְאָמַר כָּל־הָעָם אָמֵן הַלְלוּ־יָהּ׃</t>
        </is>
      </c>
      <c r="F110" s="10" t="inlineStr"/>
      <c r="G110" s="11" t="inlineStr">
        <is>
          <t>Psalms 106</t>
        </is>
      </c>
      <c r="H110" s="8" t="inlineStr">
        <is>
          <t>Tanach with Nikkud — Public Domain</t>
        </is>
      </c>
      <c r="I110" s="8" t="inlineStr">
        <is>
          <t>sefaria-psalms-106</t>
        </is>
      </c>
    </row>
    <row r="111" ht="409" customHeight="1">
      <c r="A111" s="7">
        <f>IF(LEN(TRIM(F111))=0,"Approved","Comment to address")</f>
        <v/>
      </c>
      <c r="B111" s="12" t="inlineStr">
        <is>
          <t>Psalm 107</t>
        </is>
      </c>
      <c r="C111" s="12" t="inlineStr">
        <is>
          <t>travel</t>
        </is>
      </c>
      <c r="D111" s="12" t="inlineStr">
        <is>
          <t>Scriptural</t>
        </is>
      </c>
      <c r="E111" s="13" t="inlineStr">
        <is>
          <t>הֹדוּ לַיהוָה כִּי־טוֹב כִּי לְעוֹלָם חַסְדּוֹ׃
יֹאמְרוּ גְּאוּלֵי יְהוָה אֲשֶׁר גְּאָלָם מִיַּד־צָר׃
וּמֵאֲרָצוֹת קִבְּצָם מִמִּזְרָח וּמִמַּעֲרָב מִצָּפוֹן וּמִיָּם׃
תָּעוּ בַמִּדְבָּר בִּישִׁימוֹן דָּרֶךְ עִיר מוֹשָׁב לֹא מָצָאוּ׃
רְעֵבִים גַּם־צְמֵאִים נַפְשָׁם בָּהֶם תִּתְעַטָּף׃
וַיִּצְעֲקוּ אֶל־יְהוָה בַּצַּר לָהֶם מִמְּצוּקוֹתֵיהֶם יַצִּילֵם׃
וַיַּדְרִיכֵם בְּדֶרֶךְ יְשָׁרָה לָלֶכֶת אֶל־עִיר מוֹשָׁב׃
יוֹדוּ לַיהוָה חַסְדּוֹ וְנִפְלְאוֹתָיו לִבְנֵי אָדָם׃
כִּי־הִשְׂבִּיעַ נֶפֶשׁ שֹׁקֵקָה וְנֶפֶשׁ רְעֵבָה מִלֵּא־טוֹב׃
יֹשְׁבֵי חֹשֶׁךְ וְצַלְמָוֶת אֲסִירֵי עֳנִי וּבַרְזֶל׃
כִּי־הִמְרוּ אִמְרֵי־אֵל וַעֲצַת עֶלְיוֹן נָאָצוּ׃
וַיַּכְנַע בֶּעָמָל לִבָּם כָּשְׁלוּ וְאֵין עֹזֵר׃
וַיִּזְעֲקוּ אֶל־יְהוָה בַּצַּר לָהֶם מִמְּצֻקוֹתֵיהֶם יוֹשִׁיעֵם׃
יוֹצִיאֵם מֵחֹשֶׁךְ וְצַלְמָוֶת וּמוֹסְרוֹתֵיהֶם יְנַתֵּק׃
יוֹדוּ לַיהוָה חַסְדּוֹ וְנִפְלְאוֹתָיו לִבְנֵי אָדָם׃
כִּי־שִׁבַּר דַּלְתוֹת נְחֹשֶׁת וּבְרִיחֵי בַרְזֶל גִּדֵּעַ׃
אֱוִלִים מִדֶּרֶךְ פִּשְׁעָם וּמֵעֲוֺנֹתֵיהֶם יִתְעַנּוּ׃
כָּל־אֹכֶל תְּתַעֵב נַפְשָׁם וַיַּגִּיעוּ עַד־שַׁעֲרֵי מָוֶת׃
וַיִּזְעֲקוּ אֶל־יְהוָה בַּצַּר לָהֶם מִמְּצֻקוֹתֵיהֶם יוֹשִׁיעֵם׃
יִשְׁלַח דְּבָרוֹ וְיִרְפָּאֵם וִימַלֵּט מִשְּׁחִיתוֹתָם׃
יוֹדוּ לַיהוָה חַסְדּוֹ וְנִפְלְאוֹתָיו לִבְנֵי אָדָם׃
וְיִזְבְּחוּ זִבְחֵי תוֹדָה וִיסַפְּרוּ מַעֲשָׂיו בְּרִנָּה׃
יוֹרְדֵי הַיָּם בָּאֳנִיּוֹת עֹשֵׂי מְלָאכָה בְּמַיִם רַבִּים׃
הֵמָּה רָאוּ מַעֲשֵׂי יְהוָה וְנִפְלְאוֹתָיו בִּמְצוּלָה׃
וַיֹּאמֶר וַיַּעֲמֵד רוּחַ סְעָרָה וַתְּרוֹמֵם גַּלָּיו׃
יַעֲלוּ שָׁמַיִם יֵרְדוּ תְהוֹמוֹת נַפְשָׁם בְּרָעָה תִתְמוֹגָג׃
יָחוֹגּוּ וְיָנוּעוּ כַּשִּׁכּוֹר וְכָל־חָכְמָתָם תִּתְבַּלָּע׃
וַיִּצְעֲקוּ אֶל־יְהוָה בַּצַּר לָהֶם וּמִמְּצוּקֹתֵיהֶם יוֹצִיאֵם׃
יָקֵם סְעָרָה לִדְמָמָה וַיֶּחֱשׁוּ גַּלֵּיהֶם׃
וַיִּשְׂמְחוּ כִי־יִשְׁתֹּקוּ וַיַּנְחֵם אֶל־מְחוֹז חֶפְצָם׃
יוֹדוּ לַיהוָה חַסְדּוֹ וְנִפְלְאוֹתָיו לִבְנֵי אָדָם׃
וִירֹמְמוּהוּ בִּקְהַל־עָם וּבְמוֹשַׁב זְקֵנִים יְהַלְלוּהוּ׃
יָשֵׂם נְהָרוֹת לְמִדְבָּר וּמֹצָאֵי מַיִם לְצִמָּאוֹן׃
אֶרֶץ פְּרִי לִמְלֵחָה מֵרָעַת יֹשְׁבֵי בָהּ׃
יָשֵׂם מִדְבָּר לַאֲגַם־מַיִם וְאֶרֶץ צִיָּה לְמֹצָאֵי מָיִם׃
וַיּוֹשֶׁב שָׁם רְעֵבִים וַיְכוֹנְנוּ עִיר מוֹשָׁב׃
וַיִּזְרְעוּ שָׂדוֹת וַיִּטְּעוּ כְרָמִים וַיַּעֲשׂוּ פְּרִי תְבוּאָה׃
וַיְבָרֲכֵם וַיִּרְבּוּ מְאֹד וּבְהֶמְתָּם לֹא יַמְעִיט׃
וַיִּמְעֲטוּ וַיָּשֹׁחוּ מֵעֹצֶר רָעָה וְיָגוֹן׃
שֹׁפֵךְ בּוּז עַל־נְדִיבִים וַיַּתְעֵם בְּתֹהוּ לֹא־דָרֶךְ׃
וַיְשַׂגֵּב אֶבְיוֹן מֵעוֹנִי וַיָּשֶׂם כַּצֹּאן מִשְׁפָּחוֹת׃
יִרְאוּ יְשָׁרִים וְיִשְׂמָחוּ וְכָל־עַוְלָה קָפְצָה פִּיהָ׃
מִי־חָכָם וְיִשְׁמָר־אֵלֶּה וְיִתְבּוֹנְנוּ חַסְדֵי יְהוָה׃</t>
        </is>
      </c>
      <c r="F111" s="10" t="inlineStr"/>
      <c r="G111" s="14" t="inlineStr">
        <is>
          <t>Psalms 107</t>
        </is>
      </c>
      <c r="H111" s="12" t="inlineStr">
        <is>
          <t>Tanach with Nikkud — Public Domain</t>
        </is>
      </c>
      <c r="I111" s="12" t="inlineStr">
        <is>
          <t>sefaria-psalms-107</t>
        </is>
      </c>
    </row>
    <row r="112" ht="267" customHeight="1">
      <c r="A112" s="7">
        <f>IF(LEN(TRIM(F112))=0,"Approved","Comment to address")</f>
        <v/>
      </c>
      <c r="B112" s="8" t="inlineStr">
        <is>
          <t>Psalm 108</t>
        </is>
      </c>
      <c r="C112" s="8" t="inlineStr">
        <is>
          <t>thanks</t>
        </is>
      </c>
      <c r="D112" s="8" t="inlineStr">
        <is>
          <t>Scriptural</t>
        </is>
      </c>
      <c r="E112" s="9" t="inlineStr">
        <is>
          <t>שִׁיר מִזְמוֹר לְדָוִד׃
נָכוֹן לִבִּי אֱלֹהִים אָשִׁירָה וַאֲזַמְּרָה אַף־כְּבוֹדִי׃
עוּרָה הַנֵּבֶל וְכִנּוֹר אָעִירָה שָּׁחַר׃
אוֹדְךָ בָעַמִּים יְהוָה וַאֲזַמֶּרְךָ בַּל־אֻמִּים׃
כִּי־גָדוֹל מֵעַל־שָׁמַיִם חַסְדֶּךָ וְעַד־שְׁחָקִים אֲמִתֶּךָ׃
רוּמָה עַל־שָׁמַיִם אֱלֹהִים וְעַל כָּל־הָאָרֶץ כְּבוֹדֶךָ׃
לְמַעַן יֵחָלְצוּן יְדִידֶיךָ הוֹשִׁיעָה יְמִינְךָ וַעֲנֵנִי׃
אֱלֹהִים דִּבֶּר בְּקָדְשׁוֹ אֶעְלֹזָה אֲחַלְּקָה שְׁכֶם וְעֵמֶק סֻכּוֹת אֲמַדֵּד׃
לִי גִלְעָד לִי מְנַשֶּׁה וְאֶפְרַיִם מָעוֹז רֹאשִׁי יְהוּדָה מְחֹקְקִי׃
מוֹאָב סִיר רַחְצִי עַל־אֱדוֹם אַשְׁלִיךְ נַעֲלִי עֲלֵי־פְלֶשֶׁת אֶתְרוֹעָע׃
מִי יֹבִלֵנִי עִיר מִבְצָר מִי נָחַנִי עַד־אֱדוֹם׃
הֲלֹא־אֱלֹהִים זְנַחְתָּנוּ וְלֹא־תֵצֵא אֱלֹהִים בְּצִבְאֹתֵינוּ׃
הָבָה־לָּנוּ עֶזְרָת מִצָּר וְשָׁוְא תְּשׁוּעַת אָדָם׃
בֵּאלֹהִים נַעֲשֶׂה־חָיִל וְהוּא יָבוּס צָרֵינוּ׃</t>
        </is>
      </c>
      <c r="F112" s="10" t="inlineStr"/>
      <c r="G112" s="11" t="inlineStr">
        <is>
          <t>Psalms 108</t>
        </is>
      </c>
      <c r="H112" s="8" t="inlineStr">
        <is>
          <t>Tanach with Nikkud — Public Domain</t>
        </is>
      </c>
      <c r="I112" s="8" t="inlineStr">
        <is>
          <t>sefaria-psalms-108</t>
        </is>
      </c>
    </row>
    <row r="113" ht="409" customHeight="1">
      <c r="A113" s="7">
        <f>IF(LEN(TRIM(F113))=0,"Approved","Comment to address")</f>
        <v/>
      </c>
      <c r="B113" s="12" t="inlineStr">
        <is>
          <t>Psalm 109</t>
        </is>
      </c>
      <c r="C113" s="12" t="inlineStr">
        <is>
          <t>protection</t>
        </is>
      </c>
      <c r="D113" s="12" t="inlineStr">
        <is>
          <t>Scriptural</t>
        </is>
      </c>
      <c r="E113" s="13" t="inlineStr">
        <is>
          <t>לַמְנַצֵּחַ לְדָוִד מִזְמוֹר אֱלֹהֵי תְהִלָּתִי אַל־תֶּחֱרַשׁ׃
כִּי פִי רָשָׁע וּפִי־מִרְמָה עָלַי פָּתָחוּ דִּבְּרוּ אִתִּי לְשׁוֹן שָׁקֶר׃
וְדִבְרֵי שִׂנְאָה סְבָבוּנִי וַיִּלָּחֲמוּנִי חִנָּם׃
תַּחַת־אַהֲבָתִי יִשְׂטְנוּנִי וַאֲנִי תְפִלָּה׃
וַיָּשִׂימוּ עָלַי רָעָה תַּחַת טוֹבָה וְשִׂנְאָה תַּחַת אַהֲבָתִי׃
הַפְקֵד עָלָיו רָשָׁע וְשָׂטָן יַעֲמֹד עַל־יְמִינוֹ׃
בְּהִשָּׁפְטוֹ יֵצֵא רָשָׁע וּתְפִלָּתוֹ תִּהְיֶה לַחֲטָאָה׃
יִהְיוּ־יָמָיו מְעַטִּים פְּקֻדָּתוֹ יִקַּח אַחֵר׃
יִהְיוּ־בָנָיו יְתוֹמִים וְאִשְׁתּוֹ אַלְמָנָה׃
וְנוֹעַ יָנוּעוּ בָנָיו וְשִׁאֵלוּ וְדָרְשׁוּ מֵחָרְבוֹתֵיהֶם׃
יְנַקֵּשׁ נוֹשֶׁה לְכָל־אֲשֶׁר־לוֹ וְיָבֹזּוּ זָרִים יְגִיעוֹ׃
אַל־יְהִי־לוֹ מֹשֵׁךְ חָסֶד וְאַל־יְהִי חוֹנֵן לִיתוֹמָיו׃
יְהִי־אַחֲרִיתוֹ לְהַכְרִית בְּדוֹר אַחֵר יִמַּח שְׁמָם׃
יִזָּכֵר עֲוֺן אֲבֹתָיו אֶל־יְהוָה וְחַטַּאת אִמּוֹ אַל־תִּמָּח׃
יִהְיוּ נֶגֶד־יְהוָה תָּמִיד וְיַכְרֵת מֵאֶרֶץ זִכְרָם׃
יַעַן אֲשֶׁר לֹא זָכַר עֲשׂוֹת חָסֶד וַיִּרְדֹּף אִישׁ־עָנִי וְאֶבְיוֹן וְנִכְאֵה לֵבָב לְמוֹתֵת׃
וַיֶּאֱהַב קְלָלָה וַתְּבוֹאֵהוּ וְלֹא־חָפֵץ בִּבְרָכָה וַתִּרְחַק מִמֶּנּוּ׃
וַיִּלְבַּשׁ קְלָלָה כְּמַדּוֹ וַתָּבֹא כַמַּיִם בְּקִרְבּוֹ וְכַשֶּׁמֶן בְּעַצְמוֹתָיו׃
תְּהִי־לוֹ כְּבֶגֶד יַעְטֶה וּלְמֵזַח תָּמִיד יַחְגְּרֶהָ׃
זֹאת פְּעֻלַּת שֹׂטְנַי מֵאֵת יְהוָה וְהַדֹּבְרִים רָע עַל־נַפְשִׁי׃
וְאַתָּה יְהוִה אֲדֹנָי עֲ‍שֵׂה־אִתִּי לְמַעַן שְׁמֶךָ כִּי־טוֹב חַסְדְּךָ הַצִּילֵנִי׃
כִּי־עָנִי וְאֶבְיוֹן אָנֹכִי וְלִבִּי חָלַל בְּקִרְבִּי׃
כְּצֵל־כִּנְטוֹתוֹ נֶהֱלָכְתִּי נִנְעַרְתִּי כָּאַרְבֶּה׃
בִּרְכַּי כָּשְׁלוּ מִצּוֹם וּבְשָׂרִי כָּחַשׁ מִשָּׁמֶן׃
וַאֲנִי הָיִיתִי חֶרְפָּה לָהֶם יִרְאוּנִי יְנִיעוּן רֹאשָׁם׃
עָזְרֵנִי יְהוָה אֱלֹהָי הוֹשִׁיעֵנִי כְחַסְדֶּךָ׃
וְיֵדְעוּ כִּי־יָדְךָ זֹּאת אַתָּה יְהוָה עֲשִׂיתָהּ׃
יְקַלְלוּ־הֵמָּה וְאַתָּה תְבָרֵךְ קָמוּ וַיֵּבֹשׁוּ וְעַבְדְּךָ יִשְׂמָח׃
יִלְבְּשׁוּ שׂוֹטְנַי כְּלִמָּה וְיַעֲטוּ כַמְעִיל בָּשְׁתָּם׃
אוֹדֶה יְהוָה מְאֹד בְּפִי וּבְתוֹךְ רַבִּים אֲהַלְלֶנּוּ׃
כִּי־יַעֲמֹד לִימִין אֶבְיוֹן לְהוֹשִׁיעַ מִשֹּׁפְטֵי נַפְשׁוֹ׃</t>
        </is>
      </c>
      <c r="F113" s="10" t="inlineStr"/>
      <c r="G113" s="14" t="inlineStr">
        <is>
          <t>Psalms 109</t>
        </is>
      </c>
      <c r="H113" s="12" t="inlineStr">
        <is>
          <t>Tanach with Nikkud — Public Domain</t>
        </is>
      </c>
      <c r="I113" s="12" t="inlineStr">
        <is>
          <t>sefaria-psalms-109</t>
        </is>
      </c>
    </row>
    <row r="114" ht="182" customHeight="1">
      <c r="A114" s="7">
        <f>IF(LEN(TRIM(F114))=0,"Approved","Comment to address")</f>
        <v/>
      </c>
      <c r="B114" s="8" t="inlineStr">
        <is>
          <t>Psalm 110</t>
        </is>
      </c>
      <c r="C114" s="8" t="inlineStr">
        <is>
          <t>source</t>
        </is>
      </c>
      <c r="D114" s="8" t="inlineStr">
        <is>
          <t>Scriptural</t>
        </is>
      </c>
      <c r="E114" s="9" t="inlineStr">
        <is>
          <t>לְדָוִד מִזְמוֹר נְאֻם יְהוָה לַאדֹנִי שֵׁב לִימִינִי עַד־אָשִׁית אֹיְבֶיךָ הֲדֹם לְרַגְלֶיךָ׃
מַטֵּה־עֻזְּךָ יִשְׁלַח יְהוָה מִצִּיּוֹן רְדֵה בְּקֶרֶב אֹיְבֶיךָ׃
עַמְּךָ נְדָבֹת בְּיוֹם חֵילֶךָ בְּהַדְרֵי־קֹדֶשׁ מֵרֶחֶם מִשְׁחָר לְךָ טַל יַלְדֻתֶיךָ׃
נִשְׁבַּע יְהוָה וְלֹא יִנָּחֵם אַתָּה־כֹהֵן לְעוֹלָם עַל־דִּבְרָתִי מַלְכִּי־צֶדֶק׃
אֲדֹנָי עַל־יְמִינְךָ מָחַץ בְּיוֹם־אַפּוֹ מְלָכִים׃
יָדִין בַּגּוֹיִם מָלֵא גְוִיּוֹת מָחַץ רֹאשׁ עַל־אֶרֶץ רַבָּה׃
מִנַּחַל בַּדֶּרֶךְ יִשְׁתֶּה עַל־כֵּן יָרִים רֹאשׁ׃</t>
        </is>
      </c>
      <c r="F114" s="10" t="inlineStr"/>
      <c r="G114" s="11" t="inlineStr">
        <is>
          <t>Psalms 110</t>
        </is>
      </c>
      <c r="H114" s="8" t="inlineStr">
        <is>
          <t>Tanach with Nikkud — Public Domain</t>
        </is>
      </c>
      <c r="I114" s="8" t="inlineStr">
        <is>
          <t>sefaria-psalms-110</t>
        </is>
      </c>
    </row>
    <row r="115" ht="199" customHeight="1">
      <c r="A115" s="7">
        <f>IF(LEN(TRIM(F115))=0,"Approved","Comment to address")</f>
        <v/>
      </c>
      <c r="B115" s="12" t="inlineStr">
        <is>
          <t>Psalm 111</t>
        </is>
      </c>
      <c r="C115" s="12" t="inlineStr">
        <is>
          <t>thanks</t>
        </is>
      </c>
      <c r="D115" s="12" t="inlineStr">
        <is>
          <t>Scriptural</t>
        </is>
      </c>
      <c r="E115" s="13" t="inlineStr">
        <is>
          <t>הַלְלוּ יָהּ אוֹדֶה יְהוָה בְּכָל־לֵבָב בְּסוֹד יְשָׁרִים וְעֵדָה׃
גְּדֹלִים מַעֲשֵׂי יְהוָה דְּרוּשִׁים לְכָל־חֶפְצֵיהֶם׃
הוֹד־וְהָדָר פָּעֳלוֹ וְצִדְקָתוֹ עֹמֶדֶת לָעַד׃
זֵכֶר עָשָׂה לְנִפְלְאֹתָיו חַנּוּן וְרַחוּם יְהוָה׃
טֶרֶף נָתַן לִירֵאָיו יִזְכֹּר לְעוֹלָם בְּרִיתוֹ׃
כֹּחַ מַעֲשָׂיו הִגִּיד לְעַמּוֹ לָתֵת לָהֶם נַחֲלַת גּוֹיִם׃
מַעֲשֵׂי יָדָיו אֱמֶת וּמִשְׁפָּט נֶאֱמָנִים כָּל־פִּקּוּדָיו׃
סְמוּכִים לָעַד לְעוֹלָם עֲשׂוּיִם בֶּאֱמֶת וְיָשָׁר׃
פְּדוּת שָׁלַח לְעַמּוֹ צִוָּה־לְעוֹלָם בְּרִיתוֹ קָדוֹשׁ וְנוֹרָא שְׁמוֹ׃
רֵאשִׁית חָכְמָה יִרְאַת יְהוָה שֵׂכֶל טוֹב לְכָל־עֹשֵׂיהֶם תְּהִלָּתוֹ עֹמֶדֶת לָעַד׃</t>
        </is>
      </c>
      <c r="F115" s="10" t="inlineStr"/>
      <c r="G115" s="14" t="inlineStr">
        <is>
          <t>Psalms 111</t>
        </is>
      </c>
      <c r="H115" s="12" t="inlineStr">
        <is>
          <t>Tanach with Nikkud — Public Domain</t>
        </is>
      </c>
      <c r="I115" s="12" t="inlineStr">
        <is>
          <t>sefaria-psalms-111</t>
        </is>
      </c>
    </row>
    <row r="116" ht="182" customHeight="1">
      <c r="A116" s="7">
        <f>IF(LEN(TRIM(F116))=0,"Approved","Comment to address")</f>
        <v/>
      </c>
      <c r="B116" s="8" t="inlineStr">
        <is>
          <t>Psalm 112</t>
        </is>
      </c>
      <c r="C116" s="8" t="inlineStr">
        <is>
          <t>success</t>
        </is>
      </c>
      <c r="D116" s="8" t="inlineStr">
        <is>
          <t>Scriptural</t>
        </is>
      </c>
      <c r="E116" s="9" t="inlineStr">
        <is>
          <t>הַלְלוּ יָהּ אַשְׁרֵי־אִישׁ יָרֵא אֶת־יְהוָה בְּמִצְוֺתָיו חָפֵץ מְאֹד׃
גִּבּוֹר בָּאָרֶץ יִהְיֶה זַרְעוֹ דּוֹר יְשָׁרִים יְבֹרָךְ׃
הוֹן־וָעֹשֶׁר בְּבֵיתוֹ וְצִדְקָתוֹ עֹמֶדֶת לָעַד׃
זָרַח בַּחֹשֶׁךְ אוֹר לַיְשָׁרִים חַנּוּן וְרַחוּם וְצַדִּיק׃
טוֹב־אִישׁ חוֹנֵן וּמַלְוֶה יְכַלְכֵּל דְּבָרָיו בְּמִשְׁפָּט׃
כִּי־לְעוֹלָם לֹא־יִמּוֹט לְזֵכֶר עוֹלָם יִהְיֶה צַדִּיק׃
מִשְּׁמוּעָה רָעָה לֹא יִירָא נָכוֹן לִבּוֹ בָּטֻחַ בַּיהוָה׃
סָמוּךְ לִבּוֹ לֹא יִירָא עַד אֲשֶׁר־יִרְאֶה בְצָרָיו׃
פִּזַּר נָתַן לָאֶבְיוֹנִים צִדְקָתוֹ עֹמֶדֶת לָעַד קַרְנוֹ תָּרוּם בְּכָבוֹד׃
רָשָׁע יִרְאֶה וְכָעָס שִׁנָּיו יַחֲרֹק וְנָמָס תַּאֲוַת רְשָׁעִים תֹּאבֵד׃</t>
        </is>
      </c>
      <c r="F116" s="10" t="inlineStr"/>
      <c r="G116" s="11" t="inlineStr">
        <is>
          <t>Psalms 112</t>
        </is>
      </c>
      <c r="H116" s="8" t="inlineStr">
        <is>
          <t>Tanach with Nikkud — Public Domain</t>
        </is>
      </c>
      <c r="I116" s="8" t="inlineStr">
        <is>
          <t>sefaria-psalms-112</t>
        </is>
      </c>
    </row>
    <row r="117" ht="165" customHeight="1">
      <c r="A117" s="7">
        <f>IF(LEN(TRIM(F117))=0,"Approved","Comment to address")</f>
        <v/>
      </c>
      <c r="B117" s="12" t="inlineStr">
        <is>
          <t>Psalm 113</t>
        </is>
      </c>
      <c r="C117" s="12" t="inlineStr">
        <is>
          <t>thanks</t>
        </is>
      </c>
      <c r="D117" s="12" t="inlineStr">
        <is>
          <t>Scriptural</t>
        </is>
      </c>
      <c r="E117" s="13" t="inlineStr">
        <is>
          <t>הַלְלוּ יָהּ הַלְלוּ עַבְדֵי יְהוָה הַלְלוּ אֶת־שֵׁם יְהוָה׃
יְהִי שֵׁם יְהוָה מְבֹרָךְ מֵעַתָּה וְעַד־עוֹלָם׃
מִמִּזְרַח־שֶׁמֶשׁ עַד־מְבוֹאוֹ מְהֻלָּל שֵׁם יְהוָה׃
רָם עַל־כָּל־גּוֹיִם יְהוָה עַל הַשָּׁמַיִם כְּבוֹדוֹ׃
מִי כַּיהוָה אֱלֹהֵינוּ הַמַּגְבִּיהִי לָשָׁבֶת׃
הַמַּשְׁפִּילִי לִרְאוֹת בַּשָּׁמַיִם וּבָאָרֶץ׃
מְקִימִי מֵעָפָר דָּל מֵאַשְׁפֹּת יָרִים אֶבְיוֹן׃
לְהוֹשִׁיבִי עִם־נְדִיבִים עִם נְדִיבֵי עַמּוֹ׃
מוֹשִׁיבִי עֲקֶרֶת הַבַּיִת אֵם־הַבָּנִים שְׂמֵחָה הַלְלוּ־יָהּ׃</t>
        </is>
      </c>
      <c r="F117" s="10" t="inlineStr"/>
      <c r="G117" s="14" t="inlineStr">
        <is>
          <t>Psalms 113</t>
        </is>
      </c>
      <c r="H117" s="12" t="inlineStr">
        <is>
          <t>Tanach with Nikkud — Public Domain</t>
        </is>
      </c>
      <c r="I117" s="12" t="inlineStr">
        <is>
          <t>sefaria-psalms-113</t>
        </is>
      </c>
    </row>
    <row r="118" ht="148" customHeight="1">
      <c r="A118" s="7">
        <f>IF(LEN(TRIM(F118))=0,"Approved","Comment to address")</f>
        <v/>
      </c>
      <c r="B118" s="8" t="inlineStr">
        <is>
          <t>Psalm 114</t>
        </is>
      </c>
      <c r="C118" s="8" t="inlineStr">
        <is>
          <t>source</t>
        </is>
      </c>
      <c r="D118" s="8" t="inlineStr">
        <is>
          <t>Scriptural</t>
        </is>
      </c>
      <c r="E118" s="9" t="inlineStr">
        <is>
          <t>בְּצֵאת יִשְׂרָאֵל מִמִּצְרָיִם בֵּית יַעֲקֹב מֵעַם לֹעֵז׃
הָיְתָה יְהוּדָה לְקָדְשׁוֹ יִשְׂרָאֵל מַמְשְׁלוֹתָיו׃
הַיָּם רָאָה וַיָּנֹס הַיַּרְדֵּן יִסֹּב לְאָחוֹר׃
הֶהָרִים רָקְדוּ כְאֵילִים גְּבָעוֹת כִּבְנֵי־צֹאן׃
מַה־לְּךָ הַיָּם כִּי תָנוּס הַיַּרְדֵּן תִּסֹּב לְאָחוֹר׃
הֶהָרִים תִּרְקְדוּ כְאֵילִים גְּבָעוֹת כִּבְנֵי־צֹאן׃
מִלִּפְנֵי אָדוֹן חוּלִי אָרֶץ מִלִּפְנֵי אֱלוֹהַּ יַעֲקֹב׃
הַהֹפְכִי הַצּוּר אֲגַם־מָיִם חַלָּמִישׁ לְמַעְיְנוֹ־מָיִם׃</t>
        </is>
      </c>
      <c r="F118" s="10" t="inlineStr"/>
      <c r="G118" s="11" t="inlineStr">
        <is>
          <t>Psalms 114</t>
        </is>
      </c>
      <c r="H118" s="8" t="inlineStr">
        <is>
          <t>Tanach with Nikkud — Public Domain</t>
        </is>
      </c>
      <c r="I118" s="8" t="inlineStr">
        <is>
          <t>sefaria-psalms-114</t>
        </is>
      </c>
    </row>
    <row r="119" ht="352" customHeight="1">
      <c r="A119" s="7">
        <f>IF(LEN(TRIM(F119))=0,"Approved","Comment to address")</f>
        <v/>
      </c>
      <c r="B119" s="12" t="inlineStr">
        <is>
          <t>Psalm 115</t>
        </is>
      </c>
      <c r="C119" s="12" t="inlineStr">
        <is>
          <t>source</t>
        </is>
      </c>
      <c r="D119" s="12" t="inlineStr">
        <is>
          <t>Scriptural</t>
        </is>
      </c>
      <c r="E119" s="13" t="inlineStr">
        <is>
          <t>לֹא לָנוּ יְהוָה לֹא לָנוּ כִּי־לְשִׁמְךָ תֵּן כָּבוֹד עַל־חַסְדְּךָ עַל־אֲמִתֶּךָ׃
לָמָּה יֹאמְרוּ הַגּוֹיִם אַיֵּה־נָא אֱלֹהֵיהֶם׃
וֵאלֹהֵינוּ בַשָּׁמָיִם כֹּל אֲשֶׁר־חָפֵץ עָשָׂה׃
עֲ‍צַבֵּיהֶם כֶּסֶף וְזָהָב מַעֲשֵׂה יְדֵי אָדָם׃
פֶּה־לָהֶם וְלֹא יְדַבֵּרוּ עֵינַיִם לָהֶם וְלֹא יִרְאוּ׃
אָזְנַיִם לָהֶם וְלֹא יִשְׁמָעוּ אַף לָהֶם וְלֹא יְרִיחוּן׃
יְדֵיהֶם וְלֹא יְמִישׁוּן רַגְלֵיהֶם וְלֹא יְהַלֵּכוּ לֹא־יֶהְגּוּ בִּגְרוֹנָם׃
כְּמוֹהֶם יִהְיוּ עֹשֵׂיהֶם כֹּל אֲשֶׁר־בֹּטֵחַ בָּהֶם׃
יִשְׂרָאֵל בְּטַח בַּיהוָה עֶזְרָם וּמָגִנָּם הוּא׃
בֵּית אַהֲרֹן בִּטְחוּ בַיהוָה עֶזְרָם וּמָגִנָּם הוּא׃
יִרְאֵי יְהוָה בִּטְחוּ בַיהוָה עֶזְרָם וּמָגִנָּם הוּא׃
יְהוָה זְכָרָנוּ יְבָרֵךְ יְבָרֵךְ אֶת־בֵּית יִשְׂרָאֵל יְבָרֵךְ אֶת־בֵּית אַהֲרֹן׃
יְבָרֵךְ יִרְאֵי יְהוָה הַקְּטַנִּים עִם־הַגְּדֹלִים׃
יֹסֵף יְהוָה עֲלֵיכֶם עֲלֵיכֶם וְעַל־בְּנֵיכֶם׃
בְּרוּכִים אַתֶּם לַיהוָה עֹשֵׂה שָׁמַיִם וָאָרֶץ׃
הַשָּׁמַיִם שָׁמַיִם לַיהוָה וְהָאָרֶץ נָתַן לִבְנֵי־אָדָם׃
לֹא הַמֵּתִים יְהַלְלוּ־יָהּ וְלֹא כָּל־יֹרְדֵי דוּמָה׃
וַאֲנַחְנוּ נְבָרֵךְ יָהּ מֵעַתָּה וְעַד־עוֹלָם הַלְלוּ־יָהּ׃</t>
        </is>
      </c>
      <c r="F119" s="10" t="inlineStr"/>
      <c r="G119" s="14" t="inlineStr">
        <is>
          <t>Psalms 115</t>
        </is>
      </c>
      <c r="H119" s="12" t="inlineStr">
        <is>
          <t>Tanach with Nikkud — Public Domain</t>
        </is>
      </c>
      <c r="I119" s="12" t="inlineStr">
        <is>
          <t>sefaria-psalms-115</t>
        </is>
      </c>
    </row>
    <row r="120" ht="352" customHeight="1">
      <c r="A120" s="7">
        <f>IF(LEN(TRIM(F120))=0,"Approved","Comment to address")</f>
        <v/>
      </c>
      <c r="B120" s="8" t="inlineStr">
        <is>
          <t>Psalm 116</t>
        </is>
      </c>
      <c r="C120" s="8" t="inlineStr">
        <is>
          <t>health</t>
        </is>
      </c>
      <c r="D120" s="8" t="inlineStr">
        <is>
          <t>Scriptural</t>
        </is>
      </c>
      <c r="E120" s="9" t="inlineStr">
        <is>
          <t>אָהַבְתִּי כִּי־יִשְׁמַע יְהוָה אֶת־קוֹלִי תַּחֲנוּנָי׃
כִּי־הִטָּה אָזְנוֹ לִי וּבְיָמַי אֶקְרָא׃
אֲפָפוּנִי חֶבְלֵי־מָוֶת וּמְצָרֵי שְׁאוֹל מְצָאוּנִי צָרָה וְיָגוֹן אֶמְצָא׃
וּבְשֵׁם־יְהוָה אֶקְרָא אָנָּה יְהוָה מַלְּטָה נַפְשִׁי׃
חַנּוּן יְהֹוָה וְצַדִּיק וֵאלֹהֵינוּ מְרַחֵם׃
שֹׁמֵר פְּתָאיִם יְהֹוָה דַּלּוֹתִי וְלִי יְהוֹשִׁיעַ׃
שׁוּבִי נַפְשִׁי לִמְנוּחָיְכִי כִּי־יְהוָה גָּמַל עָלָיְכִי׃
כִּי חִלַּצְתָּ נַפְשִׁי מִמָּוֶת אֶת־עֵינִי מִן־דִּמְעָה אֶת־רַגְלִי מִדֶּחִי׃
אֶתְהַלֵּךְ לִפְנֵי יְהוָה בְּאַרְצוֹת הַחַיִּים׃
הֶאֱמַנְתִּי כִּי אֲדַבֵּר אֲנִי עָנִיתִי מְאֹד׃
אֲנִי אָמַרְתִּי בְחָפְזִי כָּל־הָאָדָם כֹּזֵב׃
מָה־אָשִׁיב לַיהוָה כָּל־תַּגְמוּלוֹהִי עָלָי׃
כּוֹס־יְשׁוּעוֹת אֶשָּׂא וּבְשֵׁם יְהוָה אֶקְרָא׃
נְדָרַי לַיהוָה אֲשַׁלֵּם נֶגְדָה־נָּא לְכָל־עַמּוֹ׃
יָקָר בְּעֵינֵי יְהוָה הַמָּוְתָה לַחֲסִידָיו׃
אָנָּה יְהוָה כִּי־אֲנִי עַבְדֶּךָ אֲ‍נִי־עַבְדְּךָ בֶּן־אֲמָתֶךָ פִּתַּחְתָּ לְמוֹסֵרָי׃
לְךָ־אֶזְבַּח זֶבַח תּוֹדָה וּבְשֵׁם יְהוָה אֶקְרָא׃
נְדָרַי לַיהוָה אֲשַׁלֵּם נֶגְדָה־נָּא לְכָל־עַמּוֹ׃
בְּחַצְרוֹת בֵּית יְהוָה בְּתוֹכֵכִי יְרוּשָׁלִָם הַלְלוּ־יָהּ׃</t>
        </is>
      </c>
      <c r="F120" s="10" t="inlineStr"/>
      <c r="G120" s="11" t="inlineStr">
        <is>
          <t>Psalms 116</t>
        </is>
      </c>
      <c r="H120" s="8" t="inlineStr">
        <is>
          <t>Tanach with Nikkud — Public Domain</t>
        </is>
      </c>
      <c r="I120" s="8" t="inlineStr">
        <is>
          <t>sefaria-psalms-116</t>
        </is>
      </c>
    </row>
    <row r="121" ht="46" customHeight="1">
      <c r="A121" s="7">
        <f>IF(LEN(TRIM(F121))=0,"Approved","Comment to address")</f>
        <v/>
      </c>
      <c r="B121" s="12" t="inlineStr">
        <is>
          <t>Psalm 117</t>
        </is>
      </c>
      <c r="C121" s="12" t="inlineStr">
        <is>
          <t>thanks</t>
        </is>
      </c>
      <c r="D121" s="12" t="inlineStr">
        <is>
          <t>Scriptural</t>
        </is>
      </c>
      <c r="E121" s="13" t="inlineStr">
        <is>
          <t>הַלְלוּ אֶת־יְהוָה כָּל־גּוֹיִם שַׁבְּחוּהוּ כָּל־הָאֻמִּים׃
כִּי גָבַר עָלֵינוּ חַסְדּוֹ וֶאֱמֶת־יְהוָה לְעוֹלָם הַלְלוּ־יָהּ׃</t>
        </is>
      </c>
      <c r="F121" s="10" t="inlineStr"/>
      <c r="G121" s="14" t="inlineStr">
        <is>
          <t>Psalms 117</t>
        </is>
      </c>
      <c r="H121" s="12" t="inlineStr">
        <is>
          <t>Tanach with Nikkud — Public Domain</t>
        </is>
      </c>
      <c r="I121" s="12" t="inlineStr">
        <is>
          <t>sefaria-psalms-117</t>
        </is>
      </c>
    </row>
    <row r="122" ht="409" customHeight="1">
      <c r="A122" s="7">
        <f>IF(LEN(TRIM(F122))=0,"Approved","Comment to address")</f>
        <v/>
      </c>
      <c r="B122" s="8" t="inlineStr">
        <is>
          <t>Psalm 118</t>
        </is>
      </c>
      <c r="C122" s="8" t="inlineStr">
        <is>
          <t>health</t>
        </is>
      </c>
      <c r="D122" s="8" t="inlineStr">
        <is>
          <t>Scriptural</t>
        </is>
      </c>
      <c r="E122" s="9" t="inlineStr">
        <is>
          <t>הוֹדוּ לַיהוָה כִּי־טוֹב כִּי לְעוֹלָם חַסְדּוֹ׃
יֹאמַר־נָא יִשְׂרָאֵל כִּי לְעוֹלָם חַסְדּוֹ׃
יֹאמְרוּ־נָא בֵית־אַהֲרֹן כִּי לְעוֹלָם חַסְדּוֹ׃
יֹאמְרוּ־נָא יִרְאֵי יְהוָה כִּי לְעוֹלָם חַסְדּוֹ׃
מִן־הַמֵּצַר קָרָאתִי יָּהּ עָנָנִי בַמֶּרְחָב יָהּ׃
יְהוָה לִי לֹא אִירָא מַה־יַּעֲשֶׂה לִי אָדָם׃
יְהוָה לִי בְּעֹזְרָי וַאֲנִי אֶרְאֶה בְשֹׂנְאָי׃
טוֹב לַחֲסוֹת בַּיהוָה מִבְּטֹחַ בָּאָדָם׃
טוֹב לַחֲסוֹת בַּיהוָה מִבְּטֹחַ בִּנְדִיבִים׃
כָּל־גּוֹיִם סְבָבוּנִי בְּשֵׁם יְהוָה כִּי אֲמִילַם׃
סַבּוּנִי גַם־סְבָבוּנִי בְּשֵׁם יְהוָה כִּי אֲמִילַם׃
סַבּוּנִי כִדְבוֹרִים דֹּעֲכוּ כְּאֵשׁ קוֹצִים בְּשֵׁם יְהוָה כִּי אֲמִילַם׃
דַּחֹה דְחִיתַנִי לִנְפֹּל וַיהוָה עֲזָרָנִי׃
עָזִּי וְזִמְרָת יָהּ וַיְהִי־לִי לִישׁוּעָה׃
קוֹל רִנָּה וִישׁוּעָה בְּאָהֳלֵי צַדִּיקִים יְמִין יְהוָה עֹשָׂה חָיִל׃
יְמִין יְהוָה רוֹמֵמָה יְמִין יְהוָה עֹשָׂה חָיִל׃
לֹא אָמוּת כִּי־אֶחְיֶה וַאֲסַפֵּר מַעֲשֵׂי יָהּ׃
יַסֹּר יִסְּרַנִּי יָּהּ וְלַמָּוֶת לֹא נְתָנָנִי׃
פִּתְחוּ־לִי שַׁעֲרֵי־צֶדֶק אָבֹא־בָם אוֹדֶה יָהּ׃
זֶה־הַשַּׁעַר לַיהוָה צַדִּיקִים יָבֹאוּ בוֹ׃
אוֹדְךָ כִּי עֲנִיתָנִי וַתְּהִי־לִי לִישׁוּעָה׃
אֶבֶן מָאֲסוּ הַבּוֹנִים הָיְתָה לְרֹאשׁ פִּנָּה׃
מֵאֵת יְהוָה הָיְתָה זֹּאת הִיא נִפְלָאת בְּעֵינֵינוּ׃
זֶה־הַיּוֹם עָשָׂה יְהוָה נָגִילָה וְנִשְׂמְחָה בוֹ׃
אָנָּא יְהוָה הוֹשִׁיעָה נָּא אָנָּא יְהוָה הַצְלִיחָה נָּא׃
בָּרוּךְ הַבָּא בְּשֵׁם יְהוָה בֵּרַכְנוּכֶם מִבֵּית יְהוָה׃
אֵל יְהוָה וַיָּאֶר לָנוּ אִסְרוּ־חַג בַּעֲבֹתִים עַד־קַרְנוֹת הַמִּזְבֵּחַ׃
אֵלִי אַתָּה וְאוֹדֶךָּ אֱלֹהַי אֲרוֹמְמֶךָּ׃
הוֹדוּ לַיהוָה כִּי־טוֹב כִּי לְעוֹלָם חַסְדּוֹ׃</t>
        </is>
      </c>
      <c r="F122" s="10" t="inlineStr"/>
      <c r="G122" s="11" t="inlineStr">
        <is>
          <t>Psalms 118</t>
        </is>
      </c>
      <c r="H122" s="8" t="inlineStr">
        <is>
          <t>Tanach with Nikkud — Public Domain</t>
        </is>
      </c>
      <c r="I122" s="8" t="inlineStr">
        <is>
          <t>sefaria-psalms-118</t>
        </is>
      </c>
    </row>
    <row r="123" ht="409" customHeight="1">
      <c r="A123" s="7">
        <f>IF(LEN(TRIM(F123))=0,"Approved","Comment to address")</f>
        <v/>
      </c>
      <c r="B123" s="12" t="inlineStr">
        <is>
          <t>Psalm 119</t>
        </is>
      </c>
      <c r="C123" s="12" t="inlineStr">
        <is>
          <t>study</t>
        </is>
      </c>
      <c r="D123" s="12" t="inlineStr">
        <is>
          <t>Scriptural</t>
        </is>
      </c>
      <c r="E123" s="13" t="inlineStr">
        <is>
          <t>אַשְׁרֵי תְמִימֵי־דָרֶךְ הַהֹלְכִים בְּתוֹרַת יְהוָה׃
אַשְׁרֵי נֹצְרֵי עֵדֹתָיו בְּכָל־לֵב יִדְרְשׁוּהוּ׃
אַף לֹא־פָעֲלוּ עַוְלָה בִּדְרָכָיו הָלָכוּ׃
אַתָּה צִוִּיתָה פִקֻּדֶיךָ לִשְׁמֹר מְאֹד׃
אַחֲלַי יִכֹּנוּ דְרָכָי לִשְׁמֹר חֻקֶּיךָ׃
אָז לֹא־אֵבוֹשׁ בְּהַבִּיטִי אֶל־כָּל־מִצְוֺתֶיךָ׃
אוֹדְךָ בְּיֹשֶׁר לֵבָב בְּלָמְדִי מִשְׁפְּטֵי צִדְקֶךָ׃
אֶת־חֻקֶּיךָ אֶשְׁמֹר אַל־תַּעַזְבֵנִי עַד־מְאֹד׃
בַּמֶּה יְזַכֶּה־נַּעַר אֶת־אָרְחוֹ לִשְׁמֹר כִּדְבָרֶךָ׃
בְּכָל־לִבִּי דְרַשְׁתִּיךָ אַל־תַּשְׁגֵּנִי מִמִּצְוֺתֶיךָ׃
בְּלִבִּי צָפַנְתִּי אִמְרָתֶךָ לְמַעַן לֹא אֶחֱטָא־לָךְ׃
בָּרוּךְ אַתָּה יְהוָה לַמְּדֵנִי חֻקֶּיךָ׃
בִּשְׂפָתַי סִפַּרְתִּי כֹּל מִשְׁפְּטֵי־פִיךָ׃
בְּדֶרֶךְ עֵדְוֺתֶיךָ שַׂשְׂתִּי כְּעַל כָּל־הוֹן׃
בְּפִקֻּדֶיךָ אָשִׂיחָה וְאַבִּיטָה אֹרְחֹתֶיךָ׃
בְּחֻקֹּתֶיךָ אֶשְׁתַּעֲשָׁע לֹא אֶשְׁכַּח דְּבָרֶךָ׃
גְּמֹל עַל־עַבְדְּךָ אֶחְיֶה וְאֶשְׁמְרָה דְבָרֶךָ׃
גַּל־עֵינַי וְאַבִּיטָה נִפְלָאוֹת מִתּוֹרָתֶךָ׃
גֵּר אָנֹכִי בָאָרֶץ אַל־תַּסְתֵּר מִמֶּנִּי מִצְוֺתֶיךָ׃
גָּרְסָה נַפְשִׁי לְתַאֲבָה אֶל־מִשְׁפָּטֶיךָ בְכָל־עֵת׃
גָּעַרְתָּ זֵדִים אֲרוּרִים הַשֹּׁגִים מִמִּצְוֺתֶיךָ׃
גַּל מֵעָלַי חֶרְפָּה וָבוּז כִּי עֵדֹתֶיךָ נָצָרְתִּי׃
גַּם יָשְׁבוּ שָׂרִים בִּי נִדְבָּרוּ עַבְדְּךָ יָשִׂיחַ בְּחֻקֶּיךָ׃
גַּם־עֵדֹתֶיךָ שַׁעֲשֻׁעָי אַנְשֵׁי עֲצָתִי׃
דָּבְקָה לֶעָפָר נַפְשִׁי חַיֵּנִי כִּדְבָרֶךָ׃
דְּרָכַי סִפַּרְתִּי וַתַּעֲנֵנִי לַמְּדֵנִי חֻקֶּיךָ׃
דֶּרֶךְ־פִּקּוּדֶיךָ הֲבִינֵנִי וְאָשִׂיחָה בְּנִפְלְאוֹתֶיךָ׃
דָּלְפָה נַפְשִׁי מִתּוּגָה קַיְּמֵנִי כִּדְבָרֶךָ׃
דֶּרֶךְ־שֶׁקֶר הָסֵר מִמֶּנִּי וְתוֹרָתְךָ חָנֵּנִי׃
דֶּרֶךְ־אֱמוּנָה בָחָרְתִּי מִשְׁפָּטֶיךָ שִׁוִּיתִי׃
דָּבַקְתִּי בְעֵדְוֺתֶיךָ יְהוָה אַל־תְּבִישֵׁנִי׃
דֶּרֶךְ־מִצְוֺתֶיךָ אָרוּץ כִּי תַרְחִיב לִבִּי׃
הוֹרֵנִי יְהוָה דֶּרֶךְ חֻקֶּיךָ וְאֶצְּרֶנָּה עֵקֶב׃
הֲבִינֵנִי וְאֶצְּרָה תוֹרָתֶךָ וְאֶשְׁמְרֶנָּה בְכָל־לֵב׃
הַדְרִיכֵנִי בִּנְתִיב מִצְוֺתֶיךָ כִּי־בוֹ חָפָצְתִּי׃
הַט־לִבִּי אֶל־עֵדְוֺתֶיךָ וְאַל אֶל־בָּצַע׃
הַעֲבֵר עֵינַי מֵרְאוֹת שָׁוְא בִּדְרָכֶךָ חַיֵּנִי׃
הָקֵם לְעַבְדְּךָ אִמְרָתֶךָ אֲשֶׁר לְיִרְאָתֶךָ׃
הַעֲבֵר חֶרְפָּתִי אֲשֶׁר יָגֹרְתִּי כִּי מִשְׁפָּטֶיךָ טוֹבִים׃
הִנֵּה תָּאַבְתִּי לְפִקֻּדֶיךָ בְּצִדְקָתְךָ חַיֵּנִי׃
וִיבֹאֻנִי חֲסָדֶךָ יְהוָה תְּשׁוּעָתְךָ כְּאִמְרָתֶךָ׃
וְאֶעֱנֶה חֹרְפִי דָבָר כִּי־בָטַחְתִּי בִּדְבָרֶךָ׃
וְאַל־תַּצֵּל מִפִּי דְבַר־אֱמֶת עַד־מְאֹד כִּי לְמִשְׁפָּטֶךָ יִחָלְתִּי׃
וְאֶשְׁמְרָה תוֹרָתְךָ תָמִיד לְעוֹלָם וָעֶד׃
וְאֶתְהַלְּכָה בָרְחָבָה כִּי פִקֻּדֶיךָ דָרָשְׁתִּי׃
וַאֲדַבְּרָה בְעֵדֹתֶיךָ נֶגֶד מְלָכִים וְלֹא אֵבוֹשׁ׃
וְאֶשְׁתַּעֲשַׁע בְּמִצְוֺתֶיךָ אֲשֶׁר אָהָבְתִּי׃
וְאֶשָּׂא־כַפַּי אֶל־מִצְוֺתֶיךָ אֲשֶׁר אָהָבְתִּי וְאָשִׂיחָה בְחֻקֶּיךָ׃
זְכֹר־דָּבָר לְעַבְדֶּךָ עַל אֲשֶׁר יִחַלְתָּנִי׃
זֹאת נֶחָמָתִי בְעָנְיִי כִּי אִמְרָתְךָ חִיָּתְנִי׃
זֵדִים הֱלִיצֻנִי עַד־מְאֹד מִתּוֹרָתְךָ לֹא נָטִיתִי׃
זָכַרְתִּי מִשְׁפָּטֶיךָ מֵעוֹלָם יְהוָה וָאֶתְנֶחָם׃
זַלְעָפָה אֲחָזַתְנִי מֵרְשָׁעִים עֹזְבֵי תּוֹרָתֶךָ׃
זְמִרוֹת הָיוּ־לִי חֻקֶּיךָ בְּבֵית מְגוּרָי׃
זָכַרְתִּי בַלַּיְלָה שִׁמְךָ יְהוָה וָאֶשְׁמְרָה תּוֹרָתֶךָ׃
זֹאת הָיְתָה־לִּי כִּי פִקֻּדֶיךָ נָצָרְתִּי׃
חֶלְקִי יְהוָה אָמַרְתִּי לִשְׁמֹר דְּבָרֶיךָ׃
חִלִּיתִי פָנֶיךָ בְכָל־לֵב חָנֵּנִי כְּאִמְרָתֶךָ׃
חִשַּׁבְתִּי דְרָכָי וָאָשִׁיבָה רַגְלַי אֶל־עֵדֹתֶיךָ׃
חַשְׁתִּי וְלֹא הִתְמַהְמָהְתִּי לִשְׁמֹר מִצְוֺתֶיךָ׃
חֶבְלֵי רְשָׁעִים עִוְּדֻנִי תּוֹרָתְךָ לֹא שָׁכָחְתִּי׃
חֲצוֹת־לַיְלָה אָקוּם לְהוֹדוֹת לָךְ עַל מִשְׁפְּטֵי צִדְקֶךָ׃
חָבֵר אָנִי לְכָל־אֲשֶׁר יְרֵאוּךָ וּלְשֹׁמְרֵי פִּקּוּדֶיךָ׃
חַסְדְּךָ יְהוָה מָלְאָה הָאָרֶץ חֻקֶּיךָ לַמְּדֵנִי׃
טוֹב עָשִׂיתָ עִם־עַבְדְּךָ יְהוָה כִּדְבָרֶךָ׃
טוּב טַעַם וָדַעַת לַמְּדֵנִי כִּי בְמִצְוֺתֶיךָ הֶאֱמָנְתִּי׃
טֶרֶם אֶעֱנֶה אֲנִי שֹׁגֵג וְעַתָּה אִמְרָתְךָ שָׁמָרְתִּי׃
טוֹב־אַתָּה וּמֵטִיב לַמְּדֵנִי חֻקֶּיךָ׃
טָפְלוּ עָלַי שֶׁקֶר זֵדִים אֲנִי בְּכָל־לֵב אֱצֹּר פִּקּוּדֶיךָ׃
טָפַשׁ כַּחֵלֶב לִבָּם אֲנִי תּוֹרָתְךָ שִׁעֲשָׁעְתִּי׃
טוֹב־לִי כִי־עֻנֵּיתִי לְמַעַן אֶלְמַד חֻקֶּיךָ׃
טוֹב־לִי תוֹרַת־פִּיךָ מֵאַלְפֵי זָהָב וָכָסֶף׃
יָדֶיךָ עָשׂוּנִי וַיְכוֹנְנוּנִי הֲבִינֵנִי וְאֶלְמְדָה מִצְוֺתֶיךָ׃
יְרֵאֶיךָ יִרְאוּנִי וְיִשְׂמָחוּ כִּי לִדְבָרְךָ יִחָלְתִּי׃
יָדַעְתִּי יְהוָה כִּי־צֶדֶק מִשְׁפָּטֶיךָ וֶאֱמוּנָה עִנִּיתָנִי׃
יְהִי־נָא חַסְדְּךָ לְנַחֲמֵנִי כְּאִמְרָתְךָ לְעַבְדֶּךָ׃
יְבֹאוּנִי רַחֲמֶיךָ וְאֶחְיֶה כִּי־תוֹרָתְךָ שַׁעֲשֻׁעָי׃
יֵבֹשׁוּ זֵדִים כִּי־שֶׁקֶר עִוְּתוּנִי אֲנִי אָשִׂיחַ בְּפִקּוּדֶיךָ׃
יָשׁוּבוּ לִי יְרֵאֶיךָ וידעו [וְיֹדְעֵי] עֵדֹתֶיךָ׃
יְהִי־לִבִּי תָמִים בְּחֻקֶּיךָ לְמַעַן לֹא אֵבוֹשׁ׃
כָּלְתָה לִתְשׁוּעָתְךָ נַפְשִׁי לִדְבָרְךָ יִחָלְתִּי׃
כָּלוּ עֵינַי לְאִמְרָתֶךָ לֵאמֹר מָתַי תְּנַחֲמֵנִי׃
כִּי־הָיִיתִי כְּנֹאד בְּקִיטוֹר חֻקֶּיךָ לֹא שָׁכָחְתִּי׃
כַּמָּה יְמֵי־עַבְדֶּךָ מָתַי תַּעֲשֶׂה בְרֹדְפַי מִשְׁפָּט׃
כָּרוּ־לִי זֵדִים שִׁיחוֹת אֲשֶׁר לֹא כְתוֹרָתֶךָ׃
כָּל־מִצְוֺתֶיךָ אֱמוּנָה שֶׁקֶר רְדָפוּנִי עָזְרֵנִי׃
כִּמְעַט כִּלּוּנִי בָאָרֶץ וַאֲנִי לֹא־עָזַבְתִּי פִקֻּודֶיךָ׃
כְּחַסְדְּךָ חַיֵּנִי וְאֶשְׁמְרָה עֵדוּת פִּיךָ׃
לְעוֹלָם יְהוָה דְּבָרְךָ נִצָּב בַּשָּׁמָיִם׃
לְדֹר וָדֹר אֱמוּנָתֶךָ כּוֹנַנְתָּ אֶרֶץ וַתַּעֲמֹד׃
לְמִשְׁפָּטֶיךָ עָמְדוּ הַיּוֹם כִּי הַכֹּל עֲבָדֶיךָ׃
לוּלֵי תוֹרָתְךָ שַׁעֲשֻׁעָי אָז אָבַדְתִּי בְעָנְיִי׃
לְעוֹלָם לֹא־אֶשְׁכַּח פִּקּוּדֶיךָ כִּי בָם חִיִּיתָנִי׃
לְךָ־אֲנִי הוֹשִׁיעֵנִי כִּי פִקּוּדֶיךָ דָרָשְׁתִּי׃
לִי קִוּוּ רְשָׁעִים לְאַבְּדֵנִי עֵדֹתֶיךָ אֶתְבּוֹנָן׃
לְכָל תִּכְלָה רָאִיתִי קֵץ רְחָבָה מִצְוָתְךָ מְאֹד׃
מָה־אָהַבְתִּי תוֹרָתֶךָ כָּל־הַיּוֹם הִיא שִׂיחָתִי׃
מֵאֹיְבַי תְּחַכְּמֵנִי מִצְוֺתֶךָ כִּי לְעוֹלָם הִיא־לִי׃
מִכָּל־מְלַמְּדַי הִשְׂכַּלְתִּי כִּי עֵדְוֺתֶיךָ שִׂיחָה לִי׃
מִזְּקֵנִים אֶתְבּוֹנָן כִּי פִקּוּדֶיךָ נָצָרְתִּי׃
מִכָּל־אֹרַח רָע כָּלִאתִי רַגְלָי לְמַעַן אֶשְׁמֹר דְּבָרֶךָ׃
מִמִּשְׁפָּטֶיךָ לֹא־סָרְתִּי כִּי־אַתָּה הוֹרֵתָנִי׃
מַה־נִּמְלְצוּ לְחִכִּי אִמְרָתֶךָ מִדְּבַשׁ לְפִי׃
מִפִּקּוּדֶיךָ אֶתְבּוֹנָן עַל־כֵּן שָׂנֵאתִי כָּל־אֹרַח שָׁקֶר׃
נֵר־לְרַגְלִי דְבָרֶךָ וְאוֹר לִנְתִיבָתִי׃
נִשְׁבַּעְתִּי וָאֲקַיֵּמָה לִשְׁמֹר מִשְׁפְּטֵי צִדְקֶךָ׃
נַעֲנֵיתִי עַד־מְאֹד יְהוָה חַיֵּנִי כִדְבָרֶךָ׃
נִדְבוֹת פִּי רְצֵה־נָא יְהוָה וּמִשְׁפָּטֶיךָ לַמְּדֵנִי׃
נַפְשִׁי בְכַפִּי תָמִיד וְתוֹרָתְךָ לֹא שָׁכָחְתִּי׃
נָתְנוּ רְשָׁעִים פַּח לִי וּמִפִּקּוּדֶיךָ לֹא תָעִיתִי׃
נָחַלְתִּי עֵדְוֺתֶיךָ לְעוֹלָם כִּי־שְׂשׂוֹן לִבִּי הֵמָּה׃
נָטִיתִי לִבִּי לַעֲשׂוֹת חֻקֶּיךָ לְעוֹלָם עֵקֶב׃
סֵעֲפִים שָׂנֵאתִי וְתוֹרָתְךָ אָהָבְתִּי׃
סִתְרִי וּמָגִנִּי אָתָּה לִדְבָרְךָ יִחָלְתִּי׃
סוּרוּ־מִמֶּנִּי מְרֵעִים וְאֶצְּרָה מִצְוֺת אֱלֹהָי׃
סָמְכֵנִי כְאִמְרָתְךָ וְאֶחְיֶה וְאַל־תְּבִישֵׁנִי מִשִּׂבְרִי׃
סְעָדֵנִי וְאִוָּשֵׁעָה וְאֶשְׁעָה בְחֻקֶּיךָ תָמִיד׃
סָלִיתָ כָּל־שׁוֹגִים מֵחֻקֶּיךָ כִּי־שֶׁקֶר תַּרְמִיתָם׃
סִגִים הִשְׁבַּתָּ כָל־רִשְׁעֵי־אָרֶץ לָכֵן אָהַבְתִּי עֵדֹתֶיךָ׃
סָמַר מִפַּחְדְּךָ בְשָׂרִי וּמִמִּשְׁפָּטֶיךָ יָרֵאתִי׃
עָשִׂיתִי מִשְׁפָּט וָצֶדֶק בַּל־תַּנִּיחֵנִי לְעֹשְׁקָי׃
עֲרֹב עַבְדְּךָ לְטוֹב אַל־יַעַשְׁקֻנִי זֵדִים׃
עֵינַי כָּלוּ לִישׁוּעָתֶךָ וּלְאִמְרַת צִדְקֶךָ׃
עֲשֵׂה עִם־עַבְדְּךָ כְחַסְדֶּךָ וְחֻקֶּיךָ לַמְּדֵנִי׃
עַבְדְּךָ־אָנִי הֲבִינֵנִי וְאֵדְעָה עֵדֹתֶיךָ׃
עֵת לַעֲשׂוֹת לַיהוָה הֵפֵרוּ תּוֹרָתֶךָ׃
עַל־כֵּן אָהַבְתִּי מִצְוֺתֶיךָ מִזָּהָב וּמִפָּז׃
עַל־כֵּן כָּל־פִּקּוּדֵי כֹל יִשָּׁרְתִּי כָּל־אֹרַח שֶׁקֶר שָׂנֵאתִי׃
פְּלָאוֹת עֵדְוֺתֶיךָ עַל־כֵּן נְצָרָתַם נַפְשִׁי׃
פֵּתַח דְּבָרֶיךָ יָאִיר מֵבִין פְּתָיִים׃
פִּי־פָעַרְתִּי וָאֶשְׁאָפָה כִּי לְמִצְוֺתֶיךָ יָאָבְתִּי׃
פְּנֵה־אֵלַי וְחָנֵּנִי כְּמִשְׁפָּט לְאֹהֲבֵי שְׁמֶךָ׃
פְּעָמַי הָכֵן בְּאִמְרָתֶךָ וְאַל־תַּשְׁלֶט־בִּי כָל־אָוֶן׃
פְּדֵנִי מֵעֹשֶׁק אָדָם וְאֶשְׁמְרָה פִּקּוּדֶיךָ׃
פָּנֶיךָ הָאֵר בְּעַבְדֶּךָ וְלַמְּדֵנִי אֶת־חֻקֶּיךָ׃
פַּלְגֵי־מַיִם יָרְדוּ עֵינָי עַל לֹא־שָׁמְרוּ תוֹרָתֶךָ׃
צַדִּיק אַתָּה יְהוָה וְיָשָׁר מִשְׁפָּטֶיךָ׃
צִוִּיתָ צֶדֶק עֵדֹתֶיךָ וֶאֱמוּנָה מְאֹד׃
צִמְּתַתְנִי קִנְאָתִי כִּי־שָׁכְחוּ דְבָרֶיךָ צָרָי׃
צְרוּפָה אִמְרָתְךָ מְאֹד וְעַבְדְּךָ אֲהֵבָהּ׃
צָעִיר אָנֹכִי וְנִבְזֶה פִּקֻּדֶיךָ לֹא שָׁכָחְתִּי׃
צִדְקָתְךָ צֶדֶק לְעוֹלָם וְתוֹרָתְךָ אֱמֶת׃
צַר־וּמָצוֹק מְצָאוּנִי מִצְוֺתֶיךָ שַׁעֲשֻׁעָי׃
צֶדֶק עֵדְוֺתֶיךָ לְעוֹלָם הֲבִינֵנִי וְאֶחְיֶה׃
קָרָאתִי בְכָל־לֵב עֲנֵנִי יְהוָה חֻקֶּיךָ אֶצֹּרָה׃
קְרָאתִיךָ הוֹשִׁיעֵנִי וְאֶשְׁמְרָה עֵדֹתֶיךָ׃
קִדַּמְתִּי בַנֶּשֶׁף וָאֲשַׁוֵּעָה לדבריך [לִדְבָרְךָ] יִחָלְתִּי׃
קִדְּמוּ עֵינַי אַשְׁמֻרוֹת לָשִׂיחַ בְּאִמְרָתֶךָ׃
קוֹלִי שִׁמְעָה כְחַסְדֶּךָ יְהוָה כְּמִשְׁפָּטֶךָ חַיֵּנִי׃
קָרְבוּ רֹדְפֵי זִמָּה מִתּוֹרָתְךָ רָחָקוּ׃
קָרוֹב אַתָּה יְהוָה וְכָל־מִצְוֺתֶיךָ אֱמֶת׃
קֶדֶם יָדַעְתִּי מֵעֵדֹתֶיךָ כִּי לְעוֹלָם יְסַדְתָּם׃
רְאֵה־עָנְיִי וְחַלְּצֵנִי כִּי־תוֹרָתְךָ לֹא שָׁכָחְתִּי׃
רִיבָה רִיבִי וּגְאָלֵנִי לְאִמְרָתְךָ חַיֵּנִי׃
רָחוֹק מֵרְשָׁעִים יְשׁוּעָה כִּי־חֻקֶּיךָ לֹא דָרָשׁוּ׃
רַחֲמֶיךָ רַבִּים יְהוָה כְּמִשְׁפָּטֶיךָ חַיֵּנִי׃
רַבִּים רֹדְפַי וְצָרָי מֵעֵדְוֺתֶיךָ לֹא נָטִיתִי׃
רָאִיתִי בֹגְדִים וָאֶתְקוֹטָטָה אֲשֶׁר אִמְרָתְךָ לֹא שָׁמָרוּ׃
רְאֵה כִּי־פִקּוּדֶיךָ אָהָבְתִּי יְהוָה כְּחַסְדְּךָ חַיֵּנִי׃
רֹאשׁ־דְּבָרְךָ אֱמֶת וּלְעוֹלָם כָּל־מִשְׁפַּט צִדְקֶךָ׃
שָׂרִים רְדָפוּנִי חִנָּם ומדבריך [וּמִדְּבָרְךָ] פָּחַד לִבִּי׃
שָׂשׂ אָנֹכִי עַל־אִמְרָתֶךָ כְּמוֹצֵא שָׁלָל רָב׃
שֶׁקֶר שָׂנֵאתִי וַאֲתַעֵבָה תּוֹרָתְךָ אָהָבְתִּי׃
שֶׁבַע בַּיּוֹם הִלַּלְתִּיךָ עַל מִשְׁפְּטֵי צִדְקֶךָ׃
שָׁלוֹם רָב לְאֹהֲבֵי תוֹרָתֶךָ וְאֵין־לָמוֹ מִכְשׁוֹל׃
שִׂבַּרְתִּי לִישׁוּעָתְךָ יְהוָה וּמִצְוֺתֶיךָ עָשִׂיתִי׃
שָׁמְרָה נַפְשִׁי עֵדֹתֶיךָ וָאֹהֲבֵם מְאֹד׃
שָׁמַרְתִּי פִקּוּדֶיךָ וְעֵדֹתֶיךָ כִּי כָל־דְּרָכַי נֶגְדֶּךָ׃
תִּקְרַב רִנָּתִי לְפָנֶיךָ יְהוָה כִּדְבָרְךָ הֲבִינֵנִי׃
תָּבוֹא תְּחִנָּתִי לְפָנֶיךָ כְּאִמְרָתְךָ הַצִּילֵנִי׃
תַּבַּעְנָה שְׂפָתַי תְּהִלָּה כִּי תְלַמְּדֵנִי חֻקֶּיךָ׃
תַּעַן לְשׁוֹנִי אִמְרָתֶךָ כִּי כָל־מִצְוֺתֶיךָ צֶּדֶק׃
תְּהִי־יָדְךָ לְעָזְרֵנִי כִּי פִקּוּדֶיךָ בָחָרְתִּי׃
תָּאַבְתִּי לִישׁוּעָתְךָ יְהוָה וְתוֹרָתְךָ שַׁעֲשֻׁעָי׃
תְּחִי־נַפְשִׁי וּתְהַלְלֶךָּ וּמִשְׁפָּטֶךָ יַעֲזְרֻנִי׃
תָּעִיתִי כְּשֶׂה אֹבֵד בַּקֵּשׁ עַבְדֶּךָ כִּי מִצְוֺתֶיךָ לֹא שָׁכָחְתִּי׃</t>
        </is>
      </c>
      <c r="F123" s="10" t="inlineStr"/>
      <c r="G123" s="14" t="inlineStr">
        <is>
          <t>Psalms 119</t>
        </is>
      </c>
      <c r="H123" s="12" t="inlineStr">
        <is>
          <t>Tanach with Nikkud — Public Domain</t>
        </is>
      </c>
      <c r="I123" s="12" t="inlineStr">
        <is>
          <t>sefaria-psalms-119</t>
        </is>
      </c>
    </row>
    <row r="124" ht="131" customHeight="1">
      <c r="A124" s="7">
        <f>IF(LEN(TRIM(F124))=0,"Approved","Comment to address")</f>
        <v/>
      </c>
      <c r="B124" s="8" t="inlineStr">
        <is>
          <t>Psalm 120</t>
        </is>
      </c>
      <c r="C124" s="8" t="inlineStr">
        <is>
          <t>safety</t>
        </is>
      </c>
      <c r="D124" s="8" t="inlineStr">
        <is>
          <t>Scriptural</t>
        </is>
      </c>
      <c r="E124" s="9" t="inlineStr">
        <is>
          <t>שִׁיר הַמַּעֲלוֹת אֶל־יְהוָה בַּצָּרָתָה לִּי קָרָאתִי וַיַּעֲנֵנִי׃
יְהוָה הַצִּילָה נַפְשִׁי מִשְּׂפַת־שֶׁקֶר מִלָּשׁוֹן רְמִיָּה׃
מַה־יִּתֵּן לְךָ וּמַה־יֹּסִיף לָךְ לָשׁוֹן רְמִיָּה׃
חִצֵּי גִבּוֹר שְׁנוּנִים עִם גַּחֲלֵי רְתָמִים׃
אוֹיָה־לִי כִּי־גַרְתִּי מֶשֶׁךְ שָׁכַנְתִּי עִם־אָהֳלֵי קֵדָר׃
רַבַּת שָׁכְנָה־לָּהּ נַפְשִׁי עִם שׂוֹנֵא שָׁלוֹם׃
אֲ‍נִי־שָׁלוֹם וְכִי אֲדַבֵּר הֵמָּה לַמִּלְחָמָה׃</t>
        </is>
      </c>
      <c r="F124" s="10" t="inlineStr"/>
      <c r="G124" s="11" t="inlineStr">
        <is>
          <t>Psalms 120</t>
        </is>
      </c>
      <c r="H124" s="8" t="inlineStr">
        <is>
          <t>Tanach with Nikkud — Public Domain</t>
        </is>
      </c>
      <c r="I124" s="8" t="inlineStr">
        <is>
          <t>sefaria-psalms-120</t>
        </is>
      </c>
    </row>
    <row r="125" ht="148" customHeight="1">
      <c r="A125" s="7">
        <f>IF(LEN(TRIM(F125))=0,"Approved","Comment to address")</f>
        <v/>
      </c>
      <c r="B125" s="12" t="inlineStr">
        <is>
          <t>Psalm 121</t>
        </is>
      </c>
      <c r="C125" s="12" t="inlineStr">
        <is>
          <t>travel</t>
        </is>
      </c>
      <c r="D125" s="12" t="inlineStr">
        <is>
          <t>Scriptural</t>
        </is>
      </c>
      <c r="E125" s="13" t="inlineStr">
        <is>
          <t>שִׁיר לַמַּעֲלוֹת אֶשָּׂא עֵינַי אֶל־הֶהָרִים מֵאַיִן יָבֹא עֶזְרִי׃
עֶזְרִי מֵעִם יְהוָה עֹשֵׂה שָׁמַיִם וָאָרֶץ׃
אַל־יִתֵּן לַמּוֹט רַגְלֶךָ אַל־יָנוּם שֹׁמְרֶךָ׃
הִנֵּה לֹא־יָנוּם וְלֹא יִישָׁן שׁוֹמֵר יִשְׂרָאֵל׃
יְהוָה שֹׁמְרֶךָ יְהוָה צִלְּךָ עַל־יַד יְמִינֶךָ׃
יוֹמָם הַשֶּׁמֶשׁ לֹא־יַכֶּכָּה וְיָרֵחַ בַּלָּיְלָה׃
יְהוָה יִשְׁמָרְךָ מִכָּל־רָע יִשְׁמֹר אֶת־נַפְשֶׁךָ׃
יְהוָה יִשְׁמָר־צֵאתְךָ וּבוֹאֶךָ מֵעַתָּה וְעַד־עוֹלָם׃</t>
        </is>
      </c>
      <c r="F125" s="10" t="inlineStr"/>
      <c r="G125" s="14" t="inlineStr">
        <is>
          <t>Psalms 121</t>
        </is>
      </c>
      <c r="H125" s="12" t="inlineStr">
        <is>
          <t>Tanach with Nikkud — Public Domain</t>
        </is>
      </c>
      <c r="I125" s="12" t="inlineStr">
        <is>
          <t>sefaria-psalms-121</t>
        </is>
      </c>
    </row>
    <row r="126" ht="182" customHeight="1">
      <c r="A126" s="7">
        <f>IF(LEN(TRIM(F126))=0,"Approved","Comment to address")</f>
        <v/>
      </c>
      <c r="B126" s="8" t="inlineStr">
        <is>
          <t>Psalm 122</t>
        </is>
      </c>
      <c r="C126" s="8" t="inlineStr">
        <is>
          <t>safety</t>
        </is>
      </c>
      <c r="D126" s="8" t="inlineStr">
        <is>
          <t>Scriptural</t>
        </is>
      </c>
      <c r="E126" s="9" t="inlineStr">
        <is>
          <t>שִׁיר הַמַּעֲלוֹת לְדָוִד שָׂמַחְתִּי בְּאֹמְרִים לִי בֵּית יְהוָה נֵלֵךְ׃
עֹמְדוֹת הָיוּ רַגְלֵינוּ בִּשְׁעָרַיִךְ יְרוּשָׁלִָם׃
יְרוּשָׁלִַם הַבְּנוּיָה כְּעִיר שֶׁחֻבְּרָה־לָּהּ יַחְדָּו׃
שֶׁשָּׁם עָלוּ שְׁבָטִים שִׁבְטֵי־יָהּ עֵדוּת לְיִשְׂרָאֵל לְהֹדוֹת לְשֵׁם יְהוָה׃
כִּי שָׁמָּה יָשְׁבוּ כִסְאוֹת לְמִשְׁפָּט כִּסְאוֹת לְבֵית דָּוִיד׃
שַׁאֲלוּ שְׁלוֹם יְרוּשָׁלִָם יִשְׁלָיוּ אֹהֲבָיִךְ׃
יְהִי־שָׁלוֹם בְּחֵילֵךְ שַׁלְוָה בְּאַרְמְנוֹתָיִךְ׃
לְמַעַן אַחַי וְרֵעָי אֲדַבְּרָה־נָּא שָׁלוֹם בָּךְ׃
לְמַעַן בֵּית־יְהוָה אֱלֹהֵינוּ אֲבַקְשָׁה טוֹב לָךְ׃</t>
        </is>
      </c>
      <c r="F126" s="10" t="inlineStr"/>
      <c r="G126" s="11" t="inlineStr">
        <is>
          <t>Psalms 122</t>
        </is>
      </c>
      <c r="H126" s="8" t="inlineStr">
        <is>
          <t>Tanach with Nikkud — Public Domain</t>
        </is>
      </c>
      <c r="I126" s="8" t="inlineStr">
        <is>
          <t>sefaria-psalms-122</t>
        </is>
      </c>
    </row>
    <row r="127" ht="97" customHeight="1">
      <c r="A127" s="7">
        <f>IF(LEN(TRIM(F127))=0,"Approved","Comment to address")</f>
        <v/>
      </c>
      <c r="B127" s="12" t="inlineStr">
        <is>
          <t>Psalm 123</t>
        </is>
      </c>
      <c r="C127" s="12" t="inlineStr">
        <is>
          <t>health</t>
        </is>
      </c>
      <c r="D127" s="12" t="inlineStr">
        <is>
          <t>Scriptural</t>
        </is>
      </c>
      <c r="E127" s="13" t="inlineStr">
        <is>
          <t>שִׁיר הַמַּעֲלוֹת אֵלֶיךָ נָשָׂאתִי אֶת־עֵינַי הַיֹּשְׁבִי בַּשָּׁמָיִם׃
הִנֵּה כְעֵינֵי עֲבָדִים אֶל־יַד אֲ‍דוֹנֵיהֶם כְּעֵינֵי שִׁפְחָה אֶל־יַד גְּבִרְתָּהּ כֵּן עֵינֵינוּ אֶל־יְהוָה אֱלֹהֵינוּ עַד שֶׁיְּחָנֵּנוּ׃
חָנֵּנוּ יְהוָה חָנֵּנוּ כִּי־רַב שָׂבַעְנוּ בוּז׃
רַבַּת שָׂבְעָה־לָּהּ נַפְשֵׁנוּ הַלַּעַג הַשַּׁאֲנַנִּים הַבּוּז לִגְאֵיוֹנִים׃</t>
        </is>
      </c>
      <c r="F127" s="10" t="inlineStr"/>
      <c r="G127" s="14" t="inlineStr">
        <is>
          <t>Psalms 123</t>
        </is>
      </c>
      <c r="H127" s="12" t="inlineStr">
        <is>
          <t>Tanach with Nikkud — Public Domain</t>
        </is>
      </c>
      <c r="I127" s="12" t="inlineStr">
        <is>
          <t>sefaria-psalms-123</t>
        </is>
      </c>
    </row>
    <row r="128" ht="165" customHeight="1">
      <c r="A128" s="7">
        <f>IF(LEN(TRIM(F128))=0,"Approved","Comment to address")</f>
        <v/>
      </c>
      <c r="B128" s="8" t="inlineStr">
        <is>
          <t>Psalm 124</t>
        </is>
      </c>
      <c r="C128" s="8" t="inlineStr">
        <is>
          <t>protection</t>
        </is>
      </c>
      <c r="D128" s="8" t="inlineStr">
        <is>
          <t>Scriptural</t>
        </is>
      </c>
      <c r="E128" s="9" t="inlineStr">
        <is>
          <t>שִׁיר הַמַּעֲלוֹת לְדָוִד לוּלֵי יְהוָה שֶׁהָיָה לָנוּ יֹאמַר־נָא יִשְׂרָאֵל׃
לוּלֵי יְהוָה שֶׁהָיָה לָנוּ בְּקוּם עָלֵינוּ אָדָם׃
אֲזַי חַיִּים בְּלָעוּנוּ בַּחֲרוֹת אַפָּם בָּנוּ׃
אֲזַי הַמַּיִם שְׁטָפוּנוּ נַחְלָה עָבַר עַל־נַפְשֵׁנוּ׃
אֲזַי עָבַר עַל־נַפְשֵׁנוּ הַמַּיִם הַזֵּידוֹנִים׃
בָּרוּךְ יְהוָה שֶׁלֹּא נְתָנָנוּ טֶרֶף לְשִׁנֵּיהֶם׃
נַפְשֵׁנוּ כְּצִפּוֹר נִמְלְטָה מִפַּח יוֹקְשִׁים הַפַּח נִשְׁבָּר וַאֲנַחְנוּ נִמְלָטְנוּ׃
עֶזְרֵנוּ בְּשֵׁם יְהוָה עֹשֵׂה שָׁמַיִם וָאָרֶץ׃</t>
        </is>
      </c>
      <c r="F128" s="10" t="inlineStr"/>
      <c r="G128" s="11" t="inlineStr">
        <is>
          <t>Psalms 124</t>
        </is>
      </c>
      <c r="H128" s="8" t="inlineStr">
        <is>
          <t>Tanach with Nikkud — Public Domain</t>
        </is>
      </c>
      <c r="I128" s="8" t="inlineStr">
        <is>
          <t>sefaria-psalms-124</t>
        </is>
      </c>
    </row>
    <row r="129" ht="148" customHeight="1">
      <c r="A129" s="7">
        <f>IF(LEN(TRIM(F129))=0,"Approved","Comment to address")</f>
        <v/>
      </c>
      <c r="B129" s="12" t="inlineStr">
        <is>
          <t>Psalm 125</t>
        </is>
      </c>
      <c r="C129" s="12" t="inlineStr">
        <is>
          <t>protection</t>
        </is>
      </c>
      <c r="D129" s="12" t="inlineStr">
        <is>
          <t>Scriptural</t>
        </is>
      </c>
      <c r="E129" s="13" t="inlineStr">
        <is>
          <t>שִׁיר הַמַּעֲלוֹת הַבֹּטְחִים בַּיהוָה כְּהַר־צִיּוֹן לֹא־יִמּוֹט לְעוֹלָם יֵשֵׁב׃
יְרוּשָׁלִַם הָרִים סָבִיב לָהּ וַיהוָה סָבִיב לְעַמּוֹ מֵעַתָּה וְעַד־עוֹלָם׃
כִּי לֹא יָנוּחַ שֵׁבֶט הָרֶשַׁע עַל גּוֹרַל הַצַּדִּיקִים לְמַעַן לֹא־יִשְׁלְחוּ הַצַּדִּיקִים בְּעַוְלָתָה יְדֵיהֶם׃
הֵיטִיבָה יְהוָה לַטּוֹבִים וְלִישָׁרִים בְּלִבּוֹתָם׃
וְהַמַּטִּים עַקַלְקַלּוֹתָם יוֹלִיכֵם יְהוָה אֶת־פֹּעֲלֵי הָאָוֶן שָׁלוֹם עַל־יִשְׂרָאֵל׃</t>
        </is>
      </c>
      <c r="F129" s="10" t="inlineStr"/>
      <c r="G129" s="14" t="inlineStr">
        <is>
          <t>Psalms 125</t>
        </is>
      </c>
      <c r="H129" s="12" t="inlineStr">
        <is>
          <t>Tanach with Nikkud — Public Domain</t>
        </is>
      </c>
      <c r="I129" s="12" t="inlineStr">
        <is>
          <t>sefaria-psalms-125</t>
        </is>
      </c>
    </row>
    <row r="130" ht="148" customHeight="1">
      <c r="A130" s="7">
        <f>IF(LEN(TRIM(F130))=0,"Approved","Comment to address")</f>
        <v/>
      </c>
      <c r="B130" s="8" t="inlineStr">
        <is>
          <t>Psalm 126</t>
        </is>
      </c>
      <c r="C130" s="8" t="inlineStr">
        <is>
          <t>thanks</t>
        </is>
      </c>
      <c r="D130" s="8" t="inlineStr">
        <is>
          <t>Scriptural</t>
        </is>
      </c>
      <c r="E130" s="9" t="inlineStr">
        <is>
          <t>שִׁיר הַמַּעֲלוֹת בְּשׁוּב יְהוָה אֶת־שִׁיבַת צִיּוֹן הָיִינוּ כְּחֹלְמִים׃
אָז יִמָּלֵא שְׂחוֹק פִּינוּ וּלְשׁוֹנֵנוּ רִנָּה אָז יֹאמְרוּ בַגּוֹיִם הִגְדִּיל יְהוָה לַעֲשׂוֹת עִם־אֵלֶּה׃
הִגְדִּיל יְהוָה לַעֲשׂוֹת עִמָּנוּ הָיִינוּ שְׂמֵחִים׃
שׁוּבָה יְהוָה אֶת־שבותנו [שְׁבִיתֵנוּ] כַּאֲפִיקִים בַּנֶּגֶב׃
הַזֹּרְעִים בְּדִמְעָה בְּרִנָּה יִקְצֹרוּ׃
הָלוֹךְ יֵלֵךְ וּבָכֹה נֹשֵׂא מֶשֶׁךְ־הַזָּרַע בֹּא־יָבוֹא בְרִנָּה נֹשֵׂא אֲלֻמֹּתָיו׃</t>
        </is>
      </c>
      <c r="F130" s="10" t="inlineStr"/>
      <c r="G130" s="11" t="inlineStr">
        <is>
          <t>Psalms 126</t>
        </is>
      </c>
      <c r="H130" s="8" t="inlineStr">
        <is>
          <t>Tanach with Nikkud — Public Domain</t>
        </is>
      </c>
      <c r="I130" s="8" t="inlineStr">
        <is>
          <t>sefaria-psalms-126</t>
        </is>
      </c>
    </row>
    <row r="131" ht="148" customHeight="1">
      <c r="A131" s="7">
        <f>IF(LEN(TRIM(F131))=0,"Approved","Comment to address")</f>
        <v/>
      </c>
      <c r="B131" s="12" t="inlineStr">
        <is>
          <t>Psalm 127</t>
        </is>
      </c>
      <c r="C131" s="12" t="inlineStr">
        <is>
          <t>sleep</t>
        </is>
      </c>
      <c r="D131" s="12" t="inlineStr">
        <is>
          <t>Scriptural</t>
        </is>
      </c>
      <c r="E131" s="13" t="inlineStr">
        <is>
          <t>שִׁיר הַמַּעֲלוֹת לִשְׁלֹמֹה אִם־יְהוָה לֹא־יִבְנֶה בַיִת שָׁוְא עָמְלוּ בוֹנָיו בּוֹ אִם־יְהוָה לֹא־יִשְׁמָר־עִיר שָׁוְא שָׁקַד שׁוֹמֵר׃
שָׁוְא לָכֶם מַשְׁכִּימֵי קוּם מְאַחֲרֵי־שֶׁבֶת אֹכְלֵי לֶחֶם הָעֲצָבִים כֵּן יִתֵּן לִידִידוֹ שֵׁנָא׃
הִנֵּה נַחֲלַת יְהוָה בָּנִים שָׂכָר פְּרִי הַבָּטֶן׃
כְּחִצִּים בְּיַד־גִּבּוֹר כֵּן בְּנֵי הַנְּעוּרִים׃
אַשְׁרֵי הַגֶּבֶר אֲשֶׁר מִלֵּא אֶת־אַשְׁפָּתוֹ מֵהֶם לֹא־יֵבֹשׁוּ כִּי־יְדַבְּרוּ אֶת־אוֹיְבִים בַּשָּׁעַר׃</t>
        </is>
      </c>
      <c r="F131" s="10" t="inlineStr"/>
      <c r="G131" s="14" t="inlineStr">
        <is>
          <t>Psalms 127</t>
        </is>
      </c>
      <c r="H131" s="12" t="inlineStr">
        <is>
          <t>Tanach with Nikkud — Public Domain</t>
        </is>
      </c>
      <c r="I131" s="12" t="inlineStr">
        <is>
          <t>sefaria-psalms-127</t>
        </is>
      </c>
    </row>
    <row r="132" ht="131" customHeight="1">
      <c r="A132" s="7">
        <f>IF(LEN(TRIM(F132))=0,"Approved","Comment to address")</f>
        <v/>
      </c>
      <c r="B132" s="8" t="inlineStr">
        <is>
          <t>Psalm 128</t>
        </is>
      </c>
      <c r="C132" s="8" t="inlineStr">
        <is>
          <t>success</t>
        </is>
      </c>
      <c r="D132" s="8" t="inlineStr">
        <is>
          <t>Scriptural</t>
        </is>
      </c>
      <c r="E132" s="9" t="inlineStr">
        <is>
          <t>שִׁיר הַמַּעֲלוֹת אַשְׁרֵי כָּל־יְרֵא יְהוָה הַהֹלֵךְ בִּדְרָכָיו׃
יְגִיעַ כַּפֶּיךָ כִּי תֹאכֵל אַשְׁרֶיךָ וְטוֹב לָךְ׃
אֶשְׁתְּךָ כְּגֶפֶן פֹּרִיָּה בְּיַרְכְּתֵי בֵיתֶךָ בָּנֶיךָ כִּשְׁתִלֵי זֵיתִים סָבִיב לְשֻׁלְחָנֶךָ׃
הִנֵּה כִי־כֵן יְבֹרַךְ גָּבֶר יְרֵא יְהוָה׃
יְבָרֶכְךָ יְהוָה מִצִּיּוֹן וּרְאֵה בְּטוּב יְרוּשָׁלִָם כֹּל יְמֵי חַיֶּיךָ׃
וּרְאֵה־בָנִים לְבָנֶיךָ שָׁלוֹם עַל־יִשְׂרָאֵל׃</t>
        </is>
      </c>
      <c r="F132" s="10" t="inlineStr"/>
      <c r="G132" s="11" t="inlineStr">
        <is>
          <t>Psalms 128</t>
        </is>
      </c>
      <c r="H132" s="8" t="inlineStr">
        <is>
          <t>Tanach with Nikkud — Public Domain</t>
        </is>
      </c>
      <c r="I132" s="8" t="inlineStr">
        <is>
          <t>sefaria-psalms-128</t>
        </is>
      </c>
    </row>
    <row r="133" ht="165" customHeight="1">
      <c r="A133" s="7">
        <f>IF(LEN(TRIM(F133))=0,"Approved","Comment to address")</f>
        <v/>
      </c>
      <c r="B133" s="12" t="inlineStr">
        <is>
          <t>Psalm 129</t>
        </is>
      </c>
      <c r="C133" s="12" t="inlineStr">
        <is>
          <t>source</t>
        </is>
      </c>
      <c r="D133" s="12" t="inlineStr">
        <is>
          <t>Scriptural</t>
        </is>
      </c>
      <c r="E133" s="13" t="inlineStr">
        <is>
          <t>שִׁיר הַמַּעֲלוֹת רַבַּת צְרָרוּנִי מִנְּעוּרַי יֹאמַר־נָא יִשְׂרָאֵל׃
רַבַּת צְרָרוּנִי מִנְּעוּרָי גַּם לֹא־יָכְלוּ לִי׃
עַל־גַּבִּי חָרְשׁוּ חֹרְשִׁים הֶאֱרִיכוּ למענותם [לְמַעֲנִיתָם׃]
יְהוָה צַדִּיק קִצֵּץ עֲבוֹת רְשָׁעִים׃
יֵבֹשׁוּ וְיִסֹּגוּ אָחוֹר כֹּל שֹׂנְאֵי צִיּוֹן׃
יִהְיוּ כַּחֲצִיר גַּגּוֹת שֶׁקַּדְמַת שָׁלַף יָבֵשׁ׃
שֶׁלֹּא מִלֵּא כַפּוֹ קוֹצֵר וְחִצְנוֹ מְעַמֵּר׃
וְלֹא אָמְרוּ הָעֹבְרִים בִּרְכַּת־יְהוָה אֲלֵיכֶם בֵּרַכְנוּ אֶתְכֶם בְּשֵׁם יְהוָה׃</t>
        </is>
      </c>
      <c r="F133" s="10" t="inlineStr"/>
      <c r="G133" s="14" t="inlineStr">
        <is>
          <t>Psalms 129</t>
        </is>
      </c>
      <c r="H133" s="12" t="inlineStr">
        <is>
          <t>Tanach with Nikkud — Public Domain</t>
        </is>
      </c>
      <c r="I133" s="12" t="inlineStr">
        <is>
          <t>sefaria-psalms-129</t>
        </is>
      </c>
    </row>
    <row r="134" ht="148" customHeight="1">
      <c r="A134" s="7">
        <f>IF(LEN(TRIM(F134))=0,"Approved","Comment to address")</f>
        <v/>
      </c>
      <c r="B134" s="8" t="inlineStr">
        <is>
          <t>Psalm 130</t>
        </is>
      </c>
      <c r="C134" s="8" t="inlineStr">
        <is>
          <t>repentance</t>
        </is>
      </c>
      <c r="D134" s="8" t="inlineStr">
        <is>
          <t>Scriptural</t>
        </is>
      </c>
      <c r="E134" s="9" t="inlineStr">
        <is>
          <t>שִׁיר הַמַּעֲלוֹת מִמַּעֲמַקִּים קְרָאתִיךָ יְהוָה׃
אֲדֹנָי שִׁמְעָה בְקוֹלִי תִּהְיֶינָה אָזְנֶיךָ קַשֻּׁבוֹת לְקוֹל תַּחֲנוּנָי׃
אִם־עֲוֺנוֹת תִּשְׁמָר־יָהּ אֲדֹנָי מִי יַעֲמֹד׃
כִּי־עִמְּךָ הַסְּלִיחָה לְמַעַן תִּוָּרֵא׃
קִוִּיתִי יְהוָה קִוְּתָה נַפְשִׁי וְלִדְבָרוֹ הוֹחָלְתִּי׃
נַפְשִׁי לַאדֹנָי מִשֹּׁמְרִים לַבֹּקֶר שֹׁמְרִים לַבֹּקֶר׃
יַחֵל יִשְׂרָאֵל אֶל־יְהוָה כִּי־עִם־יְהוָה הַחֶסֶד וְהַרְבֵּה עִמּוֹ פְדוּת׃
וְהוּא יִפְדֶּה אֶת־יִשְׂרָאֵל מִכֹּל עֲוֺנֹתָיו׃</t>
        </is>
      </c>
      <c r="F134" s="10" t="inlineStr"/>
      <c r="G134" s="11" t="inlineStr">
        <is>
          <t>Psalms 130</t>
        </is>
      </c>
      <c r="H134" s="8" t="inlineStr">
        <is>
          <t>Tanach with Nikkud — Public Domain</t>
        </is>
      </c>
      <c r="I134" s="8" t="inlineStr">
        <is>
          <t>sefaria-psalms-130</t>
        </is>
      </c>
    </row>
    <row r="135" ht="97" customHeight="1">
      <c r="A135" s="7">
        <f>IF(LEN(TRIM(F135))=0,"Approved","Comment to address")</f>
        <v/>
      </c>
      <c r="B135" s="12" t="inlineStr">
        <is>
          <t>Psalm 131</t>
        </is>
      </c>
      <c r="C135" s="12" t="inlineStr">
        <is>
          <t>health</t>
        </is>
      </c>
      <c r="D135" s="12" t="inlineStr">
        <is>
          <t>Scriptural</t>
        </is>
      </c>
      <c r="E135" s="13" t="inlineStr">
        <is>
          <t>שִׁיר הַמַּעֲלוֹת לְדָוִד יְהוָה לֹא־גָבַהּ לִבִּי וְלֹא־רָמוּ עֵינַי וְלֹא־הִלַּכְתִּי בִּגְדֹלוֹת וּבְנִפְלָאוֹת מִמֶּנִּי׃
אִם־לֹא שִׁוִּיתִי וְדוֹמַמְתִּי נַפְשִׁי כְּגָמֻל עֲלֵי אִמּוֹ כַּגָּמֻל עָלַי נַפְשִׁי׃
יַחֵל יִשְׂרָאֵל אֶל־יְהוָה מֵעַתָּה וְעַד־עוֹלָם׃</t>
        </is>
      </c>
      <c r="F135" s="10" t="inlineStr"/>
      <c r="G135" s="14" t="inlineStr">
        <is>
          <t>Psalms 131</t>
        </is>
      </c>
      <c r="H135" s="12" t="inlineStr">
        <is>
          <t>Tanach with Nikkud — Public Domain</t>
        </is>
      </c>
      <c r="I135" s="12" t="inlineStr">
        <is>
          <t>sefaria-psalms-131</t>
        </is>
      </c>
    </row>
    <row r="136" ht="352" customHeight="1">
      <c r="A136" s="7">
        <f>IF(LEN(TRIM(F136))=0,"Approved","Comment to address")</f>
        <v/>
      </c>
      <c r="B136" s="8" t="inlineStr">
        <is>
          <t>Psalm 132</t>
        </is>
      </c>
      <c r="C136" s="8" t="inlineStr">
        <is>
          <t>source</t>
        </is>
      </c>
      <c r="D136" s="8" t="inlineStr">
        <is>
          <t>Scriptural</t>
        </is>
      </c>
      <c r="E136" s="9" t="inlineStr">
        <is>
          <t>שִׁיר הַמַּעֲלוֹת זְכוֹר־יְהוָה לְדָוִד אֵת כָּל־עֻנּוֹתוֹ׃
אֲשֶׁר נִשְׁבַּע לַיהוָה נָדַר לַאֲבִיר יַעֲקֹב׃
אִם־אָבֹא בְּאֹהֶל בֵּיתִי אִם־אֶעֱלֶה עַל־עֶרֶשׂ יְצוּעָי׃
אִם־אֶתֵּן שְׁנַת לְעֵינָי לְעַפְעַפַּי תְּנוּמָה׃
עַד־אֶמְצָא מָקוֹם לַיהוָה מִשְׁכָּנוֹת לַאֲבִיר יַעֲקֹב׃
הִנֵּה־שְׁמַעֲנוּהָ בְאֶפְרָתָה מְצָאנוּהָ בִּשְׂדֵי־יָעַר׃
נָבוֹאָה לְמִשְׁכְּנוֹתָיו נִשְׁתַּחֲוֶה לַהֲדֹם רַגְלָיו׃
קוּמָה יְהוָה לִמְנוּחָתֶךָ אַתָּה וַאֲרוֹן עֻזֶּךָ׃
כֹּהֲנֶיךָ יִלְבְּשׁוּ־צֶדֶק וַחֲסִידֶיךָ יְרַנֵּנוּ׃
בַּעֲבוּר דָּוִד עַבְדֶּךָ אַל־תָּשֵׁב פְּנֵי מְשִׁיחֶךָ׃
נִשְׁבַּע־יְהוָה לְדָוִד אֱמֶת לֹא־יָשׁוּב מִמֶּנָּה מִפְּרִי בִטְנְךָ אָשִׁית לְכִסֵּא־לָךְ׃
אִם־יִשְׁמְרוּ בָנֶיךָ בְּרִיתִי וְעֵדֹתִי זוֹ אֲלַמְּדֵם גַּם־בְּנֵיהֶם עֲדֵי־עַד יֵשְׁבוּ לְכִסֵּא־לָךְ׃
כִּי־בָחַר יְהוָה בְּצִיּוֹן אִוָּהּ לְמוֹשָׁב לוֹ׃
זֹאת־מְנוּחָתִי עֲדֵי־עַד פֹּה־אֵשֵׁב כִּי אִוִּתִיהָ׃
צֵידָהּ בָּרֵךְ אֲבָרֵךְ אֶבְיוֹנֶיהָ אַשְׂבִּיעַ לָחֶם׃
וְכֹהֲנֶיהָ אַלְבִּישׁ יֶשַׁע וַחֲסִידֶיהָ רַנֵּן יְרַנֵּנוּ׃
שָׁם אַצְמִיחַ קֶרֶן לְדָוִד עָרַכְתִּי נֵר לִמְשִׁיחִי׃
אוֹיְבָיו אַלְבִּישׁ בֹּשֶׁת וְעָלָיו יָצִיץ נִזְרוֹ׃</t>
        </is>
      </c>
      <c r="F136" s="10" t="inlineStr"/>
      <c r="G136" s="11" t="inlineStr">
        <is>
          <t>Psalms 132</t>
        </is>
      </c>
      <c r="H136" s="8" t="inlineStr">
        <is>
          <t>Tanach with Nikkud — Public Domain</t>
        </is>
      </c>
      <c r="I136" s="8" t="inlineStr">
        <is>
          <t>sefaria-psalms-132</t>
        </is>
      </c>
    </row>
    <row r="137" ht="114" customHeight="1">
      <c r="A137" s="7">
        <f>IF(LEN(TRIM(F137))=0,"Approved","Comment to address")</f>
        <v/>
      </c>
      <c r="B137" s="12" t="inlineStr">
        <is>
          <t>Psalm 133</t>
        </is>
      </c>
      <c r="C137" s="12" t="inlineStr">
        <is>
          <t>safety</t>
        </is>
      </c>
      <c r="D137" s="12" t="inlineStr">
        <is>
          <t>Scriptural</t>
        </is>
      </c>
      <c r="E137" s="13" t="inlineStr">
        <is>
          <t>שִׁיר הַמַּעֲלוֹת לְדָוִד הִנֵּה מַה־טּוֹב וּמַה־נָּעִים שֶׁבֶת אַחִים גַּם־יָחַד׃
כַּשֶּׁמֶן הַטּוֹב עַל־הָרֹאשׁ יֹרֵד עַל־הַזָּקָן זְקַן־אַהֲרֹן שֶׁיֹּרֵד עַל־פִּי מִדּוֹתָיו׃
כְּטַל־חֶרְמוֹן שֶׁיֹּרֵד עַל־הַרְרֵי צִיּוֹן כִּי שָׁם צִוָּה יְהוָה אֶת־הַבְּרָכָה חַיִּים עַד־הָעוֹלָם׃</t>
        </is>
      </c>
      <c r="F137" s="10" t="inlineStr"/>
      <c r="G137" s="14" t="inlineStr">
        <is>
          <t>Psalms 133</t>
        </is>
      </c>
      <c r="H137" s="12" t="inlineStr">
        <is>
          <t>Tanach with Nikkud — Public Domain</t>
        </is>
      </c>
      <c r="I137" s="12" t="inlineStr">
        <is>
          <t>sefaria-psalms-133</t>
        </is>
      </c>
    </row>
    <row r="138" ht="80" customHeight="1">
      <c r="A138" s="7">
        <f>IF(LEN(TRIM(F138))=0,"Approved","Comment to address")</f>
        <v/>
      </c>
      <c r="B138" s="8" t="inlineStr">
        <is>
          <t>Psalm 134</t>
        </is>
      </c>
      <c r="C138" s="8" t="inlineStr">
        <is>
          <t>sleep</t>
        </is>
      </c>
      <c r="D138" s="8" t="inlineStr">
        <is>
          <t>Scriptural</t>
        </is>
      </c>
      <c r="E138" s="9" t="inlineStr">
        <is>
          <t>שִׁיר הַמַּעֲלוֹת הִנֵּה בָּרֲכוּ אֶת־יְהוָה כָּל־עַבְדֵי יְהוָה הָעֹמְדִים בְּבֵית־יְהוָה בַּלֵּילוֹת׃
שְׂאוּ־יְדֵכֶם קֹדֶשׁ וּבָרֲכוּ אֶת־יְהוָה׃
יְבָרֶכְךָ יְהוָה מִצִּיּוֹן עֹשֵׂה שָׁמַיִם וָאָרֶץ׃</t>
        </is>
      </c>
      <c r="F138" s="10" t="inlineStr"/>
      <c r="G138" s="11" t="inlineStr">
        <is>
          <t>Psalms 134</t>
        </is>
      </c>
      <c r="H138" s="8" t="inlineStr">
        <is>
          <t>Tanach with Nikkud — Public Domain</t>
        </is>
      </c>
      <c r="I138" s="8" t="inlineStr">
        <is>
          <t>sefaria-psalms-134</t>
        </is>
      </c>
    </row>
    <row r="139" ht="403" customHeight="1">
      <c r="A139" s="7">
        <f>IF(LEN(TRIM(F139))=0,"Approved","Comment to address")</f>
        <v/>
      </c>
      <c r="B139" s="12" t="inlineStr">
        <is>
          <t>Psalm 135</t>
        </is>
      </c>
      <c r="C139" s="12" t="inlineStr">
        <is>
          <t>thanks</t>
        </is>
      </c>
      <c r="D139" s="12" t="inlineStr">
        <is>
          <t>Scriptural</t>
        </is>
      </c>
      <c r="E139" s="13" t="inlineStr">
        <is>
          <t>הַלְלוּ יָהּ הַלְלוּ אֶת־שֵׁם יְהוָה הַלְלוּ עַבְדֵי יְהוָה׃
שֶׁעֹמְדִים בְּבֵית יְהוָה בְּחַצְרוֹת בֵּית אֱלֹהֵינוּ׃
הַלְלוּ־יָהּ כִּי־טוֹב יְהוָה זַמְּרוּ לִשְׁמוֹ כִּי נָעִים׃
כִּי־יַעֲקֹב בָּחַר לוֹ יָהּ יִשְׂרָאֵל לִסְגֻלָּתוֹ׃
כִּי אֲנִי יָדַעְתִּי כִּי־גָדוֹל יְהוָה וַאֲדֹנֵינוּ מִכָּל־אֱלֹהִים׃
כֹּל אֲשֶׁר־חָפֵץ יְהוָה עָשָׂה בַּשָּׁמַיִם וּבָאָרֶץ בַּיַּמִּים וְכָל־תְּהוֹמוֹת׃
מַעֲלֶה נְשִׂאִים מִקְצֵה הָאָרֶץ בְּרָקִים לַמָּטָר עָשָׂה מוֹצֵא־רוּחַ מֵאוֹצְרוֹתָיו׃
שֶׁהִכָּה בְּכוֹרֵי מִצְרָיִם מֵאָדָם עַד־בְּהֵמָה׃
שָׁלַח אֹתוֹת וּמֹפְתִים בְּתוֹכֵכִי מִצְרָיִם בְּפַרְעֹה וּבְכָל־עֲבָדָיו׃
שֶׁהִכָּה גּוֹיִם רַבִּים וְהָרַג מְלָכִים עֲצוּמִים׃
לְסִיחוֹן מֶלֶךְ הָאֱמֹרִי וּלְעוֹג מֶלֶךְ הַבָּשָׁן וּלְכֹל מַמְלְכוֹת כְּנָעַן׃
וְנָתַן אַרְצָם נַחֲלָה נַחֲלָה לְיִשְׂרָאֵל עַמּוֹ׃
יְהוָה שִׁמְךָ לְעוֹלָם יְהוָה זִכְרְךָ לְדֹר־וָדֹר׃
כִּי־יָדִין יְהוָה עַמּוֹ וְעַל־עֲבָדָיו יִתְנֶחָם׃
עֲצַבֵּי הַגּוֹיִם כֶּסֶף וְזָהָב מַעֲשֵׂה יְדֵי אָדָם׃
פֶּה־לָהֶם וְלֹא יְדַבֵּרוּ עֵינַיִם לָהֶם וְלֹא יִרְאוּ׃
אָזְנַיִם לָהֶם וְלֹא יַאֲזִינוּ אַף אֵין־יֶשׁ־רוּחַ בְּפִיהֶם׃
כְּמוֹהֶם יִהְיוּ עֹשֵׂיהֶם כֹּל אֲשֶׁר־בֹּטֵחַ בָּהֶם׃
בֵּית יִשְׂרָאֵל בָּרֲכוּ אֶת־יְהוָה בֵּית אַהֲרֹן בָּרֲכוּ אֶת־יְהוָה׃
בֵּית הַלֵּוִי בָּרֲכוּ אֶת־יְהוָה יִרְאֵי יְהוָה בָּרֲכוּ אֶת־יְהוָה׃
בָּרוּךְ יְהוָה מִצִּיּוֹן שֹׁכֵן יְרוּשָׁלִָם הַלְלוּ־יָהּ׃</t>
        </is>
      </c>
      <c r="F139" s="10" t="inlineStr"/>
      <c r="G139" s="14" t="inlineStr">
        <is>
          <t>Psalms 135</t>
        </is>
      </c>
      <c r="H139" s="12" t="inlineStr">
        <is>
          <t>Tanach with Nikkud — Public Domain</t>
        </is>
      </c>
      <c r="I139" s="12" t="inlineStr">
        <is>
          <t>sefaria-psalms-135</t>
        </is>
      </c>
    </row>
    <row r="140" ht="409" customHeight="1">
      <c r="A140" s="7">
        <f>IF(LEN(TRIM(F140))=0,"Approved","Comment to address")</f>
        <v/>
      </c>
      <c r="B140" s="8" t="inlineStr">
        <is>
          <t>Psalm 136</t>
        </is>
      </c>
      <c r="C140" s="8" t="inlineStr">
        <is>
          <t>thanks</t>
        </is>
      </c>
      <c r="D140" s="8" t="inlineStr">
        <is>
          <t>Scriptural</t>
        </is>
      </c>
      <c r="E140" s="9" t="inlineStr">
        <is>
          <t>הוֹדוּ לַיהוָה כִּי־טוֹב כִּי לְעוֹלָם חַסְדּוֹ׃
הוֹדוּ לֵאלֹהֵי הָאֱלֹהִים כִּי לְעוֹלָם חַסְדּוֹ׃
הוֹדוּ לַאֲדֹנֵי הָאֲדֹנִים כִּי לְעֹלָם חַסְדּוֹ׃
לְעֹשֵׂה נִפְלָאוֹת גְּדֹלוֹת לְבַדּוֹ כִּי לְעוֹלָם חַסְדּוֹ׃
לְעֹשֵׂה הַשָּׁמַיִם בִּתְבוּנָה כִּי לְעוֹלָם חַסְדּוֹ׃
לְרֹקַע הָאָרֶץ עַל־הַמָּיִם כִּי לְעוֹלָם חַסְדּוֹ׃
לְעֹשֵׂה אוֹרִים גְּדֹלִים כִּי לְעוֹלָם חַסְדּוֹ׃
אֶת־הַשֶּׁמֶשׁ לְמֶמְשֶׁלֶת בַּיּוֹם כִּי לְעוֹלָם חַסְדּוֹ׃
אֶת־הַיָּרֵחַ וְכוֹכָבִים לְמֶמְשְׁלוֹת בַּלָּיְלָה כִּי לְעוֹלָם חַסְדּוֹ׃
לְמַכֵּה מִצְרַיִם בִּבְכוֹרֵיהֶם כִּי לְעוֹלָם חַסְדּוֹ׃
וַיּוֹצֵא יִשְׂרָאֵל מִתּוֹכָם כִּי לְעוֹלָם חַסְדּוֹ׃
בְּיָד חֲזָקָה וּבִזְרוֹעַ נְטוּיָה כִּי לְעוֹלָם חַסְדּוֹ׃
לְגֹזֵר יַם־סוּף לִגְזָרִים כִּי לְעוֹלָם חַסְדּוֹ׃
וְהֶעֱבִיר יִשְׂרָאֵל בְּתוֹכוֹ כִּי לְעוֹלָם חַסְדּוֹ׃
וְנִעֵר פַּרְעֹה וְחֵילוֹ בְיַם־סוּף כִּי לְעוֹלָם חַסְדּוֹ׃
לְמוֹלִיךְ עַמּוֹ בַּמִּדְבָּר כִּי לְעוֹלָם חַסְדּוֹ׃
לְמַכֵּה מְלָכִים גְּדֹלִים כִּי לְעוֹלָם חַסְדּוֹ׃
וַיַּהֲרֹג מְלָכִים אַדִּירִים כִּי לְעוֹלָם חַסְדּוֹ׃
לְסִיחוֹן מֶלֶךְ הָאֱמֹרִי כִּי לְעוֹלָם חַסְדּוֹ׃
וּלְעוֹג מֶלֶךְ הַבָּשָׁן כִּי לְעוֹלָם חַסְדּוֹ׃
וְנָתַן אַרְצָם לְנַחֲלָה כִּי לְעוֹלָם חַסְדּוֹ׃
נַחֲלָה לְיִשְׂרָאֵל עַבְדּוֹ כִּי לְעוֹלָם חַסְדּוֹ׃
שֶׁבְּשִׁפְלֵנוּ זָכַר לָנוּ כִּי לְעוֹלָם חַסְדּוֹ׃
וַיִּפְרְקֵנוּ מִצָּרֵינוּ כִּי לְעוֹלָם חַסְדּוֹ׃
נֹתֵן לֶחֶם לְכָל־בָּשָׂר כִּי לְעוֹלָם חַסְדּוֹ׃
הוֹדוּ לְאֵל הַשָּׁמָיִם כִּי לְעוֹלָם חַסְדּוֹ׃</t>
        </is>
      </c>
      <c r="F140" s="10" t="inlineStr"/>
      <c r="G140" s="11" t="inlineStr">
        <is>
          <t>Psalms 136</t>
        </is>
      </c>
      <c r="H140" s="8" t="inlineStr">
        <is>
          <t>Tanach with Nikkud — Public Domain</t>
        </is>
      </c>
      <c r="I140" s="8" t="inlineStr">
        <is>
          <t>sefaria-psalms-136</t>
        </is>
      </c>
    </row>
    <row r="141" ht="233" customHeight="1">
      <c r="A141" s="7">
        <f>IF(LEN(TRIM(F141))=0,"Approved","Comment to address")</f>
        <v/>
      </c>
      <c r="B141" s="12" t="inlineStr">
        <is>
          <t>Psalm 137</t>
        </is>
      </c>
      <c r="C141" s="12" t="inlineStr">
        <is>
          <t>mourning</t>
        </is>
      </c>
      <c r="D141" s="12" t="inlineStr">
        <is>
          <t>Scriptural</t>
        </is>
      </c>
      <c r="E141" s="13" t="inlineStr">
        <is>
          <t>עַל נַהֲרוֹת בָּבֶל שָׁם יָשַׁבְנוּ גַּם־בָּכִינוּ בְּזָכְרֵנוּ אֶת־צִיּוֹן׃
עַל־עֲרָבִים בְּתוֹכָהּ תָּלִינוּ כִּנֹּרוֹתֵינוּ׃
כִּי שָׁם שְׁאֵלוּנוּ שׁוֹבֵינוּ דִּבְרֵי־שִׁיר וְתוֹלָלֵינוּ שִׂמְחָה שִׁירוּ לָנוּ מִשִּׁיר צִיּוֹן׃
אֵיךְ נָשִׁיר אֶת־שִׁיר־יְהוָה עַל אַדְמַת נֵכָר׃
אִם־אֶשְׁכָּחֵךְ יְרוּשָׁלִָם תִּשְׁכַּח יְמִינִי׃
תִּדְבַּק־לְשׁוֹנִי לְחִכִּי אִם־לֹא אֶזְכְּרֵכִי אִם־לֹא אַעֲלֶה אֶת־יְרוּשָׁלִַם עַל רֹאשׁ שִׂמְחָתִי׃
זְכֹר יְהוָה לִבְנֵי אֱדוֹם אֵת יוֹם יְרוּשָׁלִָם הָאֹמְרִים עָרוּ עָרוּ עַד הַיְסוֹד בָּהּ׃
בַּת־בָּבֶל הַשְּׁדוּדָה אַשְׁרֵי שֶׁיְשַׁלֶּם־לָךְ אֶת־גְּמוּלֵךְ שֶׁגָּמַלְתְּ לָנוּ׃
אַשְׁרֵי שֶׁיֹּאחֵז וְנִפֵּץ אֶת־עֹלָלַיִךְ אֶל־הַסָּלַע׃</t>
        </is>
      </c>
      <c r="F141" s="10" t="inlineStr"/>
      <c r="G141" s="14" t="inlineStr">
        <is>
          <t>Psalms 137</t>
        </is>
      </c>
      <c r="H141" s="12" t="inlineStr">
        <is>
          <t>Tanach with Nikkud — Public Domain</t>
        </is>
      </c>
      <c r="I141" s="12" t="inlineStr">
        <is>
          <t>sefaria-psalms-137</t>
        </is>
      </c>
    </row>
    <row r="142" ht="182" customHeight="1">
      <c r="A142" s="7">
        <f>IF(LEN(TRIM(F142))=0,"Approved","Comment to address")</f>
        <v/>
      </c>
      <c r="B142" s="8" t="inlineStr">
        <is>
          <t>Psalm 138</t>
        </is>
      </c>
      <c r="C142" s="8" t="inlineStr">
        <is>
          <t>thanks</t>
        </is>
      </c>
      <c r="D142" s="8" t="inlineStr">
        <is>
          <t>Scriptural</t>
        </is>
      </c>
      <c r="E142" s="9" t="inlineStr">
        <is>
          <t>לְדָוִד אוֹדְךָ בְכָל־לִבִּי נֶגֶד אֱלֹהִים אֲזַמְּרֶךָּ׃
אֶשְׁתַּחֲוֶה אֶל־הֵיכַל קָדְשְׁךָ וְאוֹדֶה אֶת־שְׁמֶךָ עַל־חַסְדְּךָ וְעַל־אֲמִתֶּךָ כִּי־הִגְדַּלְתָּ עַל־כָּל־שִׁמְךָ אִמְרָתֶךָ׃
בְּיוֹם קָרָאתִי וַתַּעֲנֵנִי תַּרְהִבֵנִי בְנַפְשִׁי עֹז׃
יוֹדוּךָ יְהוָה כָּל־מַלְכֵי־אָרֶץ כִּי שָׁמְעוּ אִמְרֵי־פִיךָ׃
וְיָשִׁירוּ בְּדַרְכֵי יְהוָה כִּי גָדוֹל כְּבוֹד יְהוָה׃
כִּי־רָם יְהוָה וְשָׁפָל יִרְאֶה וְגָבֹהַּ מִמֶּרְחָק יְיֵדָע׃
אִם־אֵלֵךְ בְּקֶרֶב צָרָה תְּחַיֵּנִי עַל אַף אֹיְבַי תִּשְׁלַח יָדֶךָ וְתוֹשִׁיעֵנִי יְמִינֶךָ׃
יְהוָה יִגְמֹר בַּעֲדִי יְהוָה חַסְדְּךָ לְעוֹלָם מַעֲשֵׂי יָדֶיךָ אַל־תֶּרֶף׃</t>
        </is>
      </c>
      <c r="F142" s="10" t="inlineStr"/>
      <c r="G142" s="11" t="inlineStr">
        <is>
          <t>Psalms 138</t>
        </is>
      </c>
      <c r="H142" s="8" t="inlineStr">
        <is>
          <t>Tanach with Nikkud — Public Domain</t>
        </is>
      </c>
      <c r="I142" s="8" t="inlineStr">
        <is>
          <t>sefaria-psalms-138</t>
        </is>
      </c>
    </row>
    <row r="143" ht="409" customHeight="1">
      <c r="A143" s="7">
        <f>IF(LEN(TRIM(F143))=0,"Approved","Comment to address")</f>
        <v/>
      </c>
      <c r="B143" s="12" t="inlineStr">
        <is>
          <t>Psalm 139</t>
        </is>
      </c>
      <c r="C143" s="12" t="inlineStr">
        <is>
          <t>repentance</t>
        </is>
      </c>
      <c r="D143" s="12" t="inlineStr">
        <is>
          <t>Scriptural</t>
        </is>
      </c>
      <c r="E143" s="13" t="inlineStr">
        <is>
          <t>לַמְנַצֵּחַ לְדָוִד מִזְמוֹר יְהוָה חֲקַרְתַּנִי וַתֵּדָע׃
אַתָּה יָדַעְתָּ שִׁבְתִּי וְקוּמִי בַּנְתָּה לְרֵעִי מֵרָחוֹק׃
אָרְחִי וְרִבְעִי זֵרִיתָ וְכָל־דְּרָכַי הִסְכַּנְתָּה׃
כִּי אֵין מִלָּה בִּלְשׁוֹנִי הֵן יְהוָה יָדַעְתָּ כֻלָּהּ׃
אָחוֹר וָקֶדֶם צַרְתָּנִי וַתָּשֶׁת עָלַי כַּפֶּכָה׃
פלאיה [פְּלִיאָה] דַעַת מִמֶּנִּי נִשְׂגְּבָה לֹא־אוּכַל לָהּ׃
אָנָה אֵלֵךְ מֵרוּחֶךָ וְאָנָה מִפָּנֶיךָ אֶבְרָח׃
אִם־אֶסַּק שָׁמַיִם שָׁם אָתָּה וְאַצִּיעָה שְּׁאוֹל הִנֶּךָּ׃
אֶשָּׂא כַנְפֵי־שָׁחַר אֶשְׁכְּנָה בְּאַחֲרִית יָם׃
גַּם־שָׁם יָדְךָ תַנְחֵנִי וְתֹאחֲזֵנִי יְמִינֶךָ׃
וָאֹמַר אַךְ־חֹשֶׁךְ יְשׁוּפֵנִי וְלַיְלָה אוֹר בַּעֲדֵנִי׃
גַּם־חֹשֶׁךְ לֹא־יַחְשִׁיךְ מִמֶּךָ וְלַיְלָה כַּיּוֹם יָאִיר כַּחֲשֵׁיכָה כָּאוֹרָה׃
כִּי־אַתָּה קָנִיתָ כִלְיֹתָי תְּסֻכֵּנִי בְּבֶטֶן אִמִּי׃
אוֹדְךָ עַל כִּי נוֹרָאוֹת נִפְלֵיתִי נִפְלָאִים מַעֲשֶׂיךָ וְנַפְשִׁי יֹדַעַת מְאֹד׃
לֹא־נִכְחַד עָצְמִי מִמֶּךָּ אֲשֶׁר־עֻשֵּׂיתִי בַסֵּתֶר רֻקַּמְתִּי בְּתַחְתִּיּוֹת אָרֶץ׃
גָּלְמִי רָאוּ עֵינֶיךָ וְעַל־סִפְרְךָ כֻּלָּם יִכָּתֵבוּ יָמִים יֻצָּרוּ ולא [וְלוֹ] אֶחָד בָּהֶם׃
וְלִי מַה־יָּקְרוּ רֵעֶיךָ אֵל מֶה עָצְמוּ רָאשֵׁיהֶם׃
אֶסְפְּרֵם מֵחוֹל יִרְבּוּן הֱקִיצֹתִי וְעוֹדִי עִמָּךְ׃
אִם־תִּקְטֹל אֱלוֹהַּ רָשָׁע וְאַנְשֵׁי דָמִים סוּרוּ מֶנִּי׃
אֲשֶׁר יֹאמְרֻךָ לִמְזִמָּה נָשֻׂא לַשָּׁוְא עָרֶיךָ׃
הֲלוֹא־מְשַׂנְאֶיךָ יְהוָה אֶשְׂנָא וּבִתְקוֹמְמֶיךָ אֶתְקוֹטָט׃
תַּכְלִית שִׂנְאָה שְׂנֵאתִים לְאוֹיְבִים הָיוּ לִי׃
חָקְרֵנִי אֵל וְדַע לְבָבִי בְּחָנֵנִי וְדַע שַׂרְעַפָּי׃
וּרְאֵה אִם־דֶּרֶךְ־עֹצֶב בִּי וּנְחֵנִי בְּדֶרֶךְ עוֹלָם׃</t>
        </is>
      </c>
      <c r="F143" s="10" t="inlineStr"/>
      <c r="G143" s="14" t="inlineStr">
        <is>
          <t>Psalms 139</t>
        </is>
      </c>
      <c r="H143" s="12" t="inlineStr">
        <is>
          <t>Tanach with Nikkud — Public Domain</t>
        </is>
      </c>
      <c r="I143" s="12" t="inlineStr">
        <is>
          <t>sefaria-psalms-139</t>
        </is>
      </c>
    </row>
    <row r="144" ht="301" customHeight="1">
      <c r="A144" s="7">
        <f>IF(LEN(TRIM(F144))=0,"Approved","Comment to address")</f>
        <v/>
      </c>
      <c r="B144" s="8" t="inlineStr">
        <is>
          <t>Psalm 140</t>
        </is>
      </c>
      <c r="C144" s="8" t="inlineStr">
        <is>
          <t>protection</t>
        </is>
      </c>
      <c r="D144" s="8" t="inlineStr">
        <is>
          <t>Scriptural</t>
        </is>
      </c>
      <c r="E144" s="9" t="inlineStr">
        <is>
          <t>לַמְנַצֵּחַ מִזְמוֹר לְדָוִד׃
חַלְּצֵנִי יְהוָה מֵאָדָם רָע מֵאִישׁ חֲמָסִים תִּנְצְרֵנִי׃
אֲשֶׁר חָשְׁבוּ רָעוֹת בְּלֵב כָּל־יוֹם יָגוּרוּ מִלְחָמוֹת׃
שָׁנֲנוּ לְשׁוֹנָם כְּמוֹ־נָחָשׁ חֲמַת עַכְשׁוּב תַּחַת שְׂפָתֵימוֹ סֶלָה׃
שָׁמְרֵנִי יְהוָה מִידֵי רָשָׁע מֵאִישׁ חֲמָסִים תִּנְצְרֵנִי אֲשֶׁר חָשְׁבוּ לִדְחוֹת פְּעָמָי׃
טָמְנוּ־גֵאִים פַּח לִי וַחֲבָלִים פָּרְשׂוּ רֶשֶׁת לְיַד־מַעְגָּל מֹקְשִׁים שָׁתוּ־לִי סֶלָה׃
אָמַרְתִּי לַיהוָה אֵלִי אָתָּה הַאֲזִינָה יְהוָה קוֹל תַּחֲנוּנָי׃
יְהֹוִה אֲדֹנָי עֹז יְשׁוּעָתִי סַכֹּתָה לְרֹאשִׁי בְּיוֹם נָשֶׁק׃
אַל־תִּתֵּן יְהוָה מַאֲוַיֵּי רָשָׁע זְמָמוֹ אַל־תָּפֵק יָרוּמוּ סֶלָה׃
רֹאשׁ מְסִבָּי עֲמַל שְׂפָתֵימוֹ יכסומו [יְכַסֵּמוֹ׃]
ימיטו [יִמּוֹטוּ] עֲלֵיהֶם גֶּחָלִים בָּאֵשׁ יַפִּלֵם בְּמַהֲמֹרוֹת בַּל־יָקוּמוּ׃
אִישׁ לָשׁוֹן בַּל־יִכּוֹן בָּאָרֶץ אִישׁ־חָמָס רָע יְצוּדֶנּוּ לְמַדְחֵפֹת׃
ידעת [יָדַעְתִּי] כִּי־יַעֲשֶׂה יְהוָה דִּין עָנִי מִשְׁפַּט אֶבְיֹנִים׃
אַךְ צַדִּיקִים יוֹדוּ לִשְׁמֶךָ יֵשְׁבוּ יְשָׁרִים אֶת־פָּנֶיךָ׃</t>
        </is>
      </c>
      <c r="F144" s="10" t="inlineStr"/>
      <c r="G144" s="11" t="inlineStr">
        <is>
          <t>Psalms 140</t>
        </is>
      </c>
      <c r="H144" s="8" t="inlineStr">
        <is>
          <t>Tanach with Nikkud — Public Domain</t>
        </is>
      </c>
      <c r="I144" s="8" t="inlineStr">
        <is>
          <t>sefaria-psalms-140</t>
        </is>
      </c>
    </row>
    <row r="145" ht="233" customHeight="1">
      <c r="A145" s="7">
        <f>IF(LEN(TRIM(F145))=0,"Approved","Comment to address")</f>
        <v/>
      </c>
      <c r="B145" s="12" t="inlineStr">
        <is>
          <t>Psalm 141</t>
        </is>
      </c>
      <c r="C145" s="12" t="inlineStr">
        <is>
          <t>repentance</t>
        </is>
      </c>
      <c r="D145" s="12" t="inlineStr">
        <is>
          <t>Scriptural</t>
        </is>
      </c>
      <c r="E145" s="13" t="inlineStr">
        <is>
          <t>מִזְמוֹר לְדָוִד יְהוָה קְרָאתִיךָ חוּשָׁה לִּי הַאֲזִינָה קוֹלִי בְּקָרְאִי־לָךְ׃
תִּכּוֹן תְּפִלָּתִי קְטֹרֶת לְפָנֶיךָ מַשְׂאַת כַּפַּי מִנְחַת־עָרֶב׃
שִׁיתָה יְהוָה שָׁמְרָה לְפִי נִצְּרָה עַל־דַּל שְׂפָתָי׃
אַל־תַּט־לִבִּי לְדָבָר רָע לְהִתְעוֹלֵל עֲלִלוֹת בְּרֶשַׁע אֶת־אִישִׁים פֹּעֲלֵי־אָוֶן וּבַל־אֶלְחַם בְּמַנְעַמֵּיהֶם׃
יֶהֶלְמֵנִי־צַדִּיק חֶסֶד וְיוֹכִיחֵנִי שֶׁמֶן רֹאשׁ אַל־יָנִי רֹאשִׁי כִּי־עוֹד וּתְפִלָּתִי בְּרָעוֹתֵיהֶם׃
נִשְׁמְטוּ בִידֵי־סֶלַע שֹׁפְטֵיהֶם וְשָׁמְעוּ אֲמָרַי כִּי נָעֵמוּ׃
כְּמוֹ פֹלֵחַ וּבֹקֵעַ בָּאָרֶץ נִפְזְרוּ עֲצָמֵינוּ לְפִי שְׁאוֹל׃
כִּי אֵלֶיךָ יְהֹוִה אֲדֹנָי עֵינָי בְּכָה חָסִיתִי אַל־תְּעַר נַפְשִׁי׃
שָׁמְרֵנִי מִידֵי פַח יָקְשׁוּ לִי וּמֹקְשׁוֹת פֹּעֲלֵי אָוֶן׃
יִפְּלוּ בְמַכְמֹרָיו רְשָׁעִים יַחַד אָנֹכִי עַד־אֶעֱבוֹר׃</t>
        </is>
      </c>
      <c r="F145" s="10" t="inlineStr"/>
      <c r="G145" s="14" t="inlineStr">
        <is>
          <t>Psalms 141</t>
        </is>
      </c>
      <c r="H145" s="12" t="inlineStr">
        <is>
          <t>Tanach with Nikkud — Public Domain</t>
        </is>
      </c>
      <c r="I145" s="12" t="inlineStr">
        <is>
          <t>sefaria-psalms-141</t>
        </is>
      </c>
    </row>
    <row r="146" ht="216" customHeight="1">
      <c r="A146" s="7">
        <f>IF(LEN(TRIM(F146))=0,"Approved","Comment to address")</f>
        <v/>
      </c>
      <c r="B146" s="8" t="inlineStr">
        <is>
          <t>Psalm 142</t>
        </is>
      </c>
      <c r="C146" s="8" t="inlineStr">
        <is>
          <t>protection</t>
        </is>
      </c>
      <c r="D146" s="8" t="inlineStr">
        <is>
          <t>Scriptural</t>
        </is>
      </c>
      <c r="E146" s="9" t="inlineStr">
        <is>
          <t>מַשְׂכִּיל לְדָוִד בִּהְיוֹתוֹ בַמְּעָרָה תְפִלָּה׃
קוֹלִי אֶל־יְהוָה אֶזְעָק קוֹלִי אֶל־יְהוָה אֶתְחַנָּן׃
אֶשְׁפֹּךְ לְפָנָיו שִׂיחִי צָרָתִי לְפָנָיו אַגִּיד׃
בְּהִתְעַטֵּף עָלַי רוּחִי וְאַתָּה יָדַעְתָּ נְתִיבָתִי בְּאֹרַח־זוּ אֲהַלֵּךְ טָמְנוּ פַח לִי׃
הַבֵּיט יָמִין וּרְאֵה וְאֵין־לִי מַכִּיר אָבַד מָנוֹס מִמֶּנִּי אֵין דּוֹרֵשׁ לְנַפְשִׁי׃
זָעַקְתִּי אֵלֶיךָ יְהוָה אָמַרְתִּי אַתָּה מַחְסִי חֶלְקִי בְּאֶרֶץ הַחַיִּים׃
הַקְשִׁיבָה אֶל־רִנָּתִי כִּי־דַלּוֹתִי מְאֹד הַצִּילֵנִי מֵרֹדְפַי כִּי אָמְצוּ מִמֶּנִּי׃
הוֹצִיאָה מִמַּסְגֵּר נַפְשִׁי לְהוֹדוֹת אֶת־שְׁמֶךָ בִּי יַכְתִּרוּ צַדִּיקִים כִּי תִגְמֹל עָלָי׃</t>
        </is>
      </c>
      <c r="F146" s="10" t="inlineStr"/>
      <c r="G146" s="11" t="inlineStr">
        <is>
          <t>Psalms 142</t>
        </is>
      </c>
      <c r="H146" s="8" t="inlineStr">
        <is>
          <t>Tanach with Nikkud — Public Domain</t>
        </is>
      </c>
      <c r="I146" s="8" t="inlineStr">
        <is>
          <t>sefaria-psalms-142</t>
        </is>
      </c>
    </row>
    <row r="147" ht="335" customHeight="1">
      <c r="A147" s="7">
        <f>IF(LEN(TRIM(F147))=0,"Approved","Comment to address")</f>
        <v/>
      </c>
      <c r="B147" s="12" t="inlineStr">
        <is>
          <t>Psalm 143</t>
        </is>
      </c>
      <c r="C147" s="12" t="inlineStr">
        <is>
          <t>health</t>
        </is>
      </c>
      <c r="D147" s="12" t="inlineStr">
        <is>
          <t>Scriptural</t>
        </is>
      </c>
      <c r="E147" s="13" t="inlineStr">
        <is>
          <t>מִזְמוֹר לְדָוִד יְהוָה שְׁמַע תְּפִלָּתִי הַאֲזִינָה אֶל־תַּחֲנוּנַי בֶּאֱמֻנָתְךָ עֲנֵנִי בְּצִדְקָתֶךָ׃
וְאַל־תָּבוֹא בְמִשְׁפָּט אֶת־עַבְדֶּךָ כִּי לֹא־יִצְדַּק לְפָנֶיךָ כָל־חָי׃
כִּי רָדַף אוֹיֵב נַפְשִׁי דִּכָּא לָאָרֶץ חַיָּתִי הוֹשִׁיבַנִי בְמַחֲשַׁכִּים כְּמֵתֵי עוֹלָם׃
וַתִּתְעַטֵּף עָלַי רוּחִי בְּתוֹכִי יִשְׁתּוֹמֵם לִבִּי׃
זָכַרְתִּי יָמִים מִקֶּדֶם הָגִיתִי בְכָל־פָּעֳלֶךָ בְּמַעֲשֵׂה יָדֶיךָ אֲשׂוֹחֵחַ׃
פֵּרַשְׂתִּי יָדַי אֵלֶיךָ נַפְשִׁי כְּאֶרֶץ־עֲיֵפָה לְךָ סֶלָה׃
מַהֵר עֲנֵנִי יְהוָה כָּלְתָה רוּחִי אַל־תַּסְתֵּר פָּנֶיךָ מִמֶּנִּי וְנִמְשַׁלְתִּי עִם־יֹרְדֵי בוֹר׃
הַשְׁמִיעֵנִי בַבֹּקֶר חַסְדֶּךָ כִּי־בְךָ בָטָחְתִּי הוֹדִיעֵנִי דֶּרֶךְ־זוּ אֵלֵךְ כִּי־אֵלֶיךָ נָשָׂאתִי נַפְשִׁי׃
הַצִּילֵנִי מֵאֹיְבַי יְהוָה אֵלֶיךָ כִסִּתִי׃
לַמְּדֵנִי לַעֲשׂוֹת רְצוֹנֶךָ כִּי־אַתָּה אֱלוֹהָי רוּחֲךָ טוֹבָה תַּנְחֵנִי בְּאֶרֶץ מִישׁוֹר׃
לְמַעַן־שִׁמְךָ יְהוָה תְּחַיֵּנִי בְּצִדְקָתְךָ תוֹצִיא מִצָּרָה נַפְשִׁי׃
וּבְחַסְדְּךָ תַּצְמִית אֹיְבָי וְהַאֲבַדְתָּ כָּל־צֹרֲרֵי נַפְשִׁי כִּי אֲנִי עַבְדֶּךָ׃</t>
        </is>
      </c>
      <c r="F147" s="10" t="inlineStr"/>
      <c r="G147" s="14" t="inlineStr">
        <is>
          <t>Psalms 143</t>
        </is>
      </c>
      <c r="H147" s="12" t="inlineStr">
        <is>
          <t>Tanach with Nikkud — Public Domain</t>
        </is>
      </c>
      <c r="I147" s="12" t="inlineStr">
        <is>
          <t>sefaria-psalms-143</t>
        </is>
      </c>
    </row>
    <row r="148" ht="386" customHeight="1">
      <c r="A148" s="7">
        <f>IF(LEN(TRIM(F148))=0,"Approved","Comment to address")</f>
        <v/>
      </c>
      <c r="B148" s="8" t="inlineStr">
        <is>
          <t>Psalm 144</t>
        </is>
      </c>
      <c r="C148" s="8" t="inlineStr">
        <is>
          <t>success</t>
        </is>
      </c>
      <c r="D148" s="8" t="inlineStr">
        <is>
          <t>Scriptural</t>
        </is>
      </c>
      <c r="E148" s="9" t="inlineStr">
        <is>
          <t>לְדָוִד בָּרוּךְ יְהוָה צוּרִי הַמְלַמֵּד יָדַי לַקְרָב אֶצְבְּעוֹתַי לַמִּלְחָמָה׃
חַסְדִּי וּמְצוּדָתִי מִשְׂגַּבִּי וּמְפַלְטִי לִי מָגִנִּי וּבוֹ חָסִיתִי הָרוֹדֵד עַמִּי תַחְתָּי׃
יְהוָה מָה־אָדָם וַתֵּדָעֵהוּ בֶּן־אֱנוֹשׁ וַתְּחַשְּׁבֵהוּ׃
אָדָם לַהֶבֶל דָּמָה יָמָיו כְּצֵל עוֹבֵר׃
יְהוָה הַט־שָׁמֶיךָ וְתֵרֵד גַּע בֶּהָרִים וְיֶעֱשָׁנוּ׃
בְּרוֹק בָּרָק וּתְפִיצֵם שְׁלַח חִצֶּיךָ וּתְהֻמֵּם׃
שְׁלַח יָדֶיךָ מִמָּרוֹם פְּצֵנִי וְהַצִּילֵנִי מִמַּיִם רַבִּים מִיַּד בְּנֵי נֵכָר׃
אֲשֶׁר פִּיהֶם דִּבֶּר־שָׁוְא וִימִינָם יְמִין שָׁקֶר׃
אֱ‍לֹהִים שִׁיר חָדָשׁ אָשִׁירָה לָּךְ בְּנֵבֶל עָשׂוֹר אֲזַמְּרָה־לָּךְ׃
הַנּוֹתֵן תְּשׁוּעָה לַמְּלָכִים הַפּוֹצֶה אֶת־דָּוִד עַבְדּוֹ מֵחֶרֶב רָעָה׃
פְּצֵנִי וְהַצִּילֵנִי מִיַּד בְּנֵי־נֵכָר אֲשֶׁר פִּיהֶם דִּבֶּר־שָׁוְא וִימִינָם יְמִין שָׁקֶר׃
אֲשֶׁר בָּנֵינוּ כִּנְטִעִים מְגֻדָּלִים בִּנְעוּרֵיהֶם בְּנוֹתֵינוּ כְזָוִיֹּת מְחֻטָּבוֹת תַּבְנִית הֵיכָל׃
מְזָוֵינוּ מְלֵאִים מְפִיקִים מִזַּן אֶל־זַן צֹאונֵנוּ מַאֲלִיפוֹת מְרֻבָּבוֹת בְּחוּצוֹתֵינוּ׃
אַלּוּפֵינוּ מְסֻבָּלִים אֵין־פֶּרֶץ וְאֵין יוֹצֵאת וְאֵין צְוָחָה בִּרְחֹבֹתֵינוּ׃
אַשְׁרֵי הָעָם שֶׁכָּכָה לּוֹ אַשְׁרֵי הָעָם שֶׁיֲהוָה אֱלֹהָיו׃</t>
        </is>
      </c>
      <c r="F148" s="10" t="inlineStr"/>
      <c r="G148" s="11" t="inlineStr">
        <is>
          <t>Psalms 144</t>
        </is>
      </c>
      <c r="H148" s="8" t="inlineStr">
        <is>
          <t>Tanach with Nikkud — Public Domain</t>
        </is>
      </c>
      <c r="I148" s="8" t="inlineStr">
        <is>
          <t>sefaria-psalms-144</t>
        </is>
      </c>
    </row>
    <row r="149" ht="403" customHeight="1">
      <c r="A149" s="7">
        <f>IF(LEN(TRIM(F149))=0,"Approved","Comment to address")</f>
        <v/>
      </c>
      <c r="B149" s="12" t="inlineStr">
        <is>
          <t>Psalm 145</t>
        </is>
      </c>
      <c r="C149" s="12" t="inlineStr">
        <is>
          <t>thanks</t>
        </is>
      </c>
      <c r="D149" s="12" t="inlineStr">
        <is>
          <t>Scriptural</t>
        </is>
      </c>
      <c r="E149" s="13" t="inlineStr">
        <is>
          <t>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נִפְלְאוֹתֶיךָ אָשִׂיחָה׃
וֶעֱזוּז נוֹרְאֹתֶיךָ יֹאמֵרוּ וגדולתיך [וּגְדוּלָּתְךָ]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וָדוֹר׃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יְדַבֶּר־פִּי וִיבָרֵךְ כָּל־בָּשָׂר שֵׁם קָדְשׁוֹ לְעוֹלָם וָעֶד׃</t>
        </is>
      </c>
      <c r="F149" s="10" t="inlineStr"/>
      <c r="G149" s="14" t="inlineStr">
        <is>
          <t>Psalms 145</t>
        </is>
      </c>
      <c r="H149" s="12" t="inlineStr">
        <is>
          <t>Tanach with Nikkud — Public Domain</t>
        </is>
      </c>
      <c r="I149" s="12" t="inlineStr">
        <is>
          <t>sefaria-psalms-145</t>
        </is>
      </c>
    </row>
    <row r="150" ht="216" customHeight="1">
      <c r="A150" s="7">
        <f>IF(LEN(TRIM(F150))=0,"Approved","Comment to address")</f>
        <v/>
      </c>
      <c r="B150" s="8" t="inlineStr">
        <is>
          <t>Psalm 146</t>
        </is>
      </c>
      <c r="C150" s="8" t="inlineStr">
        <is>
          <t>source</t>
        </is>
      </c>
      <c r="D150" s="8" t="inlineStr">
        <is>
          <t>Scriptural</t>
        </is>
      </c>
      <c r="E150" s="9" t="inlineStr">
        <is>
          <t>הַלְלוּ־יָהּ הַלְלִי נַפְשִׁי אֶת־יְהוָה׃
אֲהַלְלָה יְהוָה בְּחַיָּי אֲזַמְּרָה לֵאלֹהַי בְּעוֹדִי׃
אַל־תִּבְטְחוּ בִנְדִיבִים בְּבֶן־אָדָם שֶׁאֵין לוֹ תְשׁוּעָה׃
תֵּצֵא רוּחוֹ יָשֻׁב לְאַדְמָתוֹ בַּיּוֹם הַהוּא אָבְדוּ עֶשְׁתֹּנֹתָיו׃
אַשְׁרֵי שֶׁאֵל יַעֲקֹב בְּעֶזְרוֹ שִׂבְרוֹ עַל־יְהוָה אֱלֹהָיו׃
עֹשֶׂה שָׁמַיִם וָאָרֶץ אֶת־הַיָּם וְאֶת־כָּל־אֲשֶׁר־בָּם הַשֹּׁמֵר אֱמֶת לְעוֹלָם׃
עֹשֶׂה מִשְׁפָּט לָעֲשׁוּקִים נֹתֵן לֶחֶם לָרְעֵבִים יְהוָה מַתִּיר אֲסוּרִים׃
יְהוָה פֹּקֵחַ עִוְרִים יְהוָה זֹקֵף כְּפוּפִים יְהוָה אֹהֵב צַדִּיקִים׃
יְהוָה שֹׁמֵר אֶת־גֵּרִים יָתוֹם וְאַלְמָנָה יְעוֹדֵד וְדֶרֶךְ רְשָׁעִים יְעַוֵּת׃
יִמְלֹךְ יְהוָה לְעוֹלָם אֱלֹהַיִךְ צִיּוֹן לְדֹר וָדֹר הַלְלוּ־יָהּ׃</t>
        </is>
      </c>
      <c r="F150" s="10" t="inlineStr"/>
      <c r="G150" s="11" t="inlineStr">
        <is>
          <t>Psalms 146</t>
        </is>
      </c>
      <c r="H150" s="8" t="inlineStr">
        <is>
          <t>Tanach with Nikkud — Public Domain</t>
        </is>
      </c>
      <c r="I150" s="8" t="inlineStr">
        <is>
          <t>sefaria-psalms-146</t>
        </is>
      </c>
    </row>
    <row r="151" ht="352" customHeight="1">
      <c r="A151" s="7">
        <f>IF(LEN(TRIM(F151))=0,"Approved","Comment to address")</f>
        <v/>
      </c>
      <c r="B151" s="12" t="inlineStr">
        <is>
          <t>Psalm 147</t>
        </is>
      </c>
      <c r="C151" s="12" t="inlineStr">
        <is>
          <t>health</t>
        </is>
      </c>
      <c r="D151" s="12" t="inlineStr">
        <is>
          <t>Scriptural</t>
        </is>
      </c>
      <c r="E151" s="13" t="inlineStr">
        <is>
          <t>הַלְלוּ יָהּ כִּי־טוֹב זַמְּרָה אֱלֹהֵינוּ כִּי־נָעִים נָאוָה תְהִלָּה׃
בּוֹנֵה יְרוּשָׁלִַם יְהוָה נִדְחֵי יִשְׂרָאֵל יְכַנֵּס׃
הָרֹפֵא לִשְׁבוּרֵי לֵב וּמְחַבֵּשׁ לְעַצְּבוֹתָם׃
מוֹנֶה מִסְפָּר לַכּוֹכָבִים לְכֻלָּם שֵׁמוֹת יִקְרָא׃
גָּדוֹל אֲדוֹנֵינוּ וְרַב־כֹּחַ לִתְבוּנָתוֹ אֵין מִסְפָּר׃
מְעוֹדֵד עֲנָוִים יְהוָה מַשְׁפִּיל רְשָׁעִים עֲדֵי־אָרֶץ׃
עֱנוּ לַיהוָה בְּתוֹדָה זַמְּרוּ לֵאלֹהֵינוּ בְכִנּוֹר׃
הַמְכַסֶּה שָׁמַיִם בְּעָבִים הַמֵּכִין לָאָרֶץ מָטָר הַמַּצְמִיחַ הָרִים חָצִיר׃
נוֹתֵן לִבְהֵמָה לַחְמָהּ לִבְנֵי עֹרֵב אֲשֶׁר יִקְרָאוּ׃
לֹא בִגְבוּרַת הַסּוּס יֶחְפָּץ לֹא־בְשׁוֹקֵי הָאִישׁ יִרְצֶה׃
רוֹצֶה יְהוָה אֶת־יְרֵאָיו אֶת־הַמְיַחֲלִים לְחַסְדּוֹ׃
שַׁבְּחִי יְרוּשָׁלִַם אֶת־יְהוָה הַלְלִי אֱלֹהַיִךְ צִיּוֹן׃
כִּי־חִזַּק בְּרִיחֵי שְׁעָרָיִךְ בֵּרַךְ בָּנַיִךְ בְּקִרְבֵּךְ׃
הַשָּׂם־גְּבוּלֵךְ שָׁלוֹם חֵלֶב חִטִּים יַשְׂבִּיעֵךְ׃
הַשֹּׁלֵחַ אִמְרָתוֹ אָרֶץ עַד־מְהֵרָה יָרוּץ דְּבָרוֹ׃
הַנֹּתֵן שֶׁלֶג כַּצָּמֶר כְּפוֹר כָּאֵפֶר יְפַזֵּר׃
מַשְׁלִיךְ קַרְחוֹ כְפִתִּים לִפְנֵי קָרָתוֹ מִי יַעֲמֹד׃
יִשְׁלַח דְּבָרוֹ וְיַמְסֵם יַשֵּׁב רוּחוֹ יִזְּלוּ־מָיִם׃
מַגִּיד דברו [דְּבָרָיו] לְיַעֲקֹב חֻקָּיו וּמִשְׁפָּטָיו לְיִשְׂרָאֵל׃
לֹא עָשָׂה כֵן לְכָל־גּוֹי וּמִשְׁפָּטִים בַּל־יְדָעוּם הַלְלוּ־יָהּ׃</t>
        </is>
      </c>
      <c r="F151" s="10" t="inlineStr"/>
      <c r="G151" s="14" t="inlineStr">
        <is>
          <t>Psalms 147</t>
        </is>
      </c>
      <c r="H151" s="12" t="inlineStr">
        <is>
          <t>Tanach with Nikkud — Public Domain</t>
        </is>
      </c>
      <c r="I151" s="12" t="inlineStr">
        <is>
          <t>sefaria-psalms-147</t>
        </is>
      </c>
    </row>
    <row r="152" ht="284" customHeight="1">
      <c r="A152" s="7">
        <f>IF(LEN(TRIM(F152))=0,"Approved","Comment to address")</f>
        <v/>
      </c>
      <c r="B152" s="8" t="inlineStr">
        <is>
          <t>Psalm 148</t>
        </is>
      </c>
      <c r="C152" s="8" t="inlineStr">
        <is>
          <t>health</t>
        </is>
      </c>
      <c r="D152" s="8" t="inlineStr">
        <is>
          <t>Scriptural</t>
        </is>
      </c>
      <c r="E152" s="9" t="inlineStr">
        <is>
          <t>הַלְלוּ יָהּ הַלְלוּ אֶת־יְהוָה מִן־הַשָּׁמַיִם הַלְלוּהוּ בַּמְּרוֹמִים׃
הַלְלוּהוּ כָל־מַלְאָכָיו הַלְלוּהוּ כָּל־צבאו [צְבָאָיו׃]
הַלְלוּהוּ שֶׁמֶשׁ וְיָרֵחַ הַלְלוּהוּ כָּל־כּוֹכְבֵי אוֹר׃
הַלְלוּהוּ שְׁמֵי הַשָּׁמָיִם וְהַמַּיִם אֲשֶׁר מֵעַל הַשָּׁמָיִם׃
יְהַלְלוּ אֶת־שֵׁם יְהוָה כִּי הוּא צִוָּה וְנִבְרָאוּ׃
וַיַּעֲמִידֵם לָעַד לְעוֹלָם חָק־נָתַן וְלֹא יַעֲבוֹר׃
הַלְלוּ אֶת־יְהוָה מִן־הָאָרֶץ תַּנִּינִים וְכָל־תְּהֹמוֹת׃
אֵשׁ וּבָרָד שֶׁלֶג וְקִיטוֹר רוּחַ סְעָרָה עֹשָׂה דְבָרוֹ׃
הֶהָרִים וְכָל־גְּבָעוֹת עֵץ פְּרִי וְכָל־אֲרָזִים׃
הַחַיָּה וְכָל־בְּהֵמָה רֶמֶשׂ וְצִפּוֹר כָּנָף׃
מַלְכֵי־אֶרֶץ וְכָל־לְאֻמִּים שָׂרִים וְכָל־שֹׁפְטֵי אָרֶץ׃
בַּחוּרִים וְגַם־בְּתוּלוֹת זְקֵנִים עִם־נְעָרִים׃
יְהַלְלוּ אֶת־שֵׁם יְהוָה כִּי־נִשְׂגָּב שְׁמוֹ לְבַדּוֹ הוֹדוֹ עַל־אֶרֶץ וְשָׁמָיִם׃
וַיָּרֶם קֶרֶן לְעַמּוֹ תְּהִלָּה לְכָל־חֲסִידָיו לִבְנֵי יִשְׂרָאֵל עַם־קְרֹבוֹ הַלְלוּ־יָהּ׃</t>
        </is>
      </c>
      <c r="F152" s="10" t="inlineStr"/>
      <c r="G152" s="11" t="inlineStr">
        <is>
          <t>Psalms 148</t>
        </is>
      </c>
      <c r="H152" s="8" t="inlineStr">
        <is>
          <t>Tanach with Nikkud — Public Domain</t>
        </is>
      </c>
      <c r="I152" s="8" t="inlineStr">
        <is>
          <t>sefaria-psalms-148</t>
        </is>
      </c>
    </row>
    <row r="153" ht="165" customHeight="1">
      <c r="A153" s="7">
        <f>IF(LEN(TRIM(F153))=0,"Approved","Comment to address")</f>
        <v/>
      </c>
      <c r="B153" s="12" t="inlineStr">
        <is>
          <t>Psalm 149</t>
        </is>
      </c>
      <c r="C153" s="12" t="inlineStr">
        <is>
          <t>source</t>
        </is>
      </c>
      <c r="D153" s="12" t="inlineStr">
        <is>
          <t>Scriptural</t>
        </is>
      </c>
      <c r="E153" s="13" t="inlineStr">
        <is>
          <t>הַלְלוּ יָהּ שִׁירוּ לַיהוָה שִׁיר חָדָשׁ תְּהִלָּתוֹ בִּקְהַל חֲסִידִים׃
יִשְׂמַח יִשְׂרָאֵל בְּעֹשָׂיו בְּנֵי־צִיּוֹן יָגִילוּ בְמַלְכָּם׃
יְהַלְלוּ שְׁמוֹ בְמָחוֹל בְּתֹף וְכִנּוֹר יְזַמְּרוּ־לוֹ׃
כִּי־רוֹצֶה יְהוָה בְּעַמּוֹ יְפָאֵר עֲנָוִים בִּישׁוּעָה׃
יַעְלְזוּ חֲסִידִים בְּכָבוֹד יְרַנְּנוּ עַל־מִשְׁכְּבוֹתָם׃
רוֹמְמוֹת אֵל בִּגְרוֹנָם וְחֶרֶב פִּיפִיּוֹת בְּיָדָם׃
לַעֲשׂוֹת נְקָמָה בַּגּוֹיִם תּוֹכֵחֹת בַּל־אֻמִּים׃
לֶאְסֹר מַלְכֵיהֶם בְּזִקִּים וְנִכְבְּדֵיהֶם בְּכַבְלֵי בַרְזֶל׃
לַעֲשׂוֹת בָּהֶם מִשְׁפָּט כָּתוּב הָדָר הוּא לְכָל־חֲסִידָיו הַלְלוּ־יָהּ׃</t>
        </is>
      </c>
      <c r="F153" s="10" t="inlineStr"/>
      <c r="G153" s="14" t="inlineStr">
        <is>
          <t>Psalms 149</t>
        </is>
      </c>
      <c r="H153" s="12" t="inlineStr">
        <is>
          <t>Tanach with Nikkud — Public Domain</t>
        </is>
      </c>
      <c r="I153" s="12" t="inlineStr">
        <is>
          <t>sefaria-psalms-149</t>
        </is>
      </c>
    </row>
    <row r="154" ht="114" customHeight="1">
      <c r="A154" s="7">
        <f>IF(LEN(TRIM(F154))=0,"Approved","Comment to address")</f>
        <v/>
      </c>
      <c r="B154" s="8" t="inlineStr">
        <is>
          <t>Psalm 150</t>
        </is>
      </c>
      <c r="C154" s="8" t="inlineStr">
        <is>
          <t>thanks</t>
        </is>
      </c>
      <c r="D154" s="8" t="inlineStr">
        <is>
          <t>Scriptural</t>
        </is>
      </c>
      <c r="E154" s="9" t="inlineStr">
        <is>
          <t>הַלְלוּ יָהּ הַלְלוּ־אֵל בְּקָדְשׁוֹ הַלְלוּהוּ בִּרְקִיעַ עֻזּוֹ׃
הַלְלוּהוּ בִגְבוּרֹתָיו הַלְלוּהוּ כְּרֹב גֻּדְלוֹ׃
הַלְלוּהוּ בְּתֵקַע שׁוֹפָר הַלְלוּהוּ בְּנֵבֶל וְכִנּוֹר׃
הַלְלוּהוּ בְתֹף וּמָחוֹל הַלְלוּהוּ בְּמִנִּים וְעוּגָב׃
הַלְלוּהוּ בְצִלְצְלֵי־שָׁמַע הַלְלוּהוּ בְּצִלְצְלֵי תְרוּעָה׃
כֹּל הַנְּשָׁמָה תְּהַלֵּל יָהּ הַלְלוּ־יָהּ׃</t>
        </is>
      </c>
      <c r="F154" s="10" t="inlineStr"/>
      <c r="G154" s="11" t="inlineStr">
        <is>
          <t>Psalms 150</t>
        </is>
      </c>
      <c r="H154" s="8" t="inlineStr">
        <is>
          <t>Tanach with Nikkud — Public Domain</t>
        </is>
      </c>
      <c r="I154" s="8" t="inlineStr">
        <is>
          <t>sefaria-psalms-150</t>
        </is>
      </c>
    </row>
    <row r="155" ht="46" customHeight="1">
      <c r="A155" s="7">
        <f>IF(LEN(TRIM(F155))=0,"Approved","Comment to address")</f>
        <v/>
      </c>
      <c r="B155" s="12" t="inlineStr">
        <is>
          <t>Netilat Yadayim</t>
        </is>
      </c>
      <c r="C155" s="12" t="inlineStr">
        <is>
          <t>daily</t>
        </is>
      </c>
      <c r="D155" s="12" t="inlineStr">
        <is>
          <t>Ashkenaz</t>
        </is>
      </c>
      <c r="E155" s="13" t="inlineStr">
        <is>
          <t>בָּרוּךְ אַתָּה יְהֹוָה אֱלֹהֵֽינוּ מֶֽלֶךְ הָעוֹלָם אֲשֶׁר קִדְּ֒שָֽׁנוּ בְּמִצְוֹתָיו וְצִוָּנוּ עַל נְטִילַת יָדָֽיִם:</t>
        </is>
      </c>
      <c r="F155" s="10" t="inlineStr"/>
      <c r="G155" s="14" t="inlineStr">
        <is>
          <t>Siddur Ashkenaz, Weekday, Shacharit, Preparatory Prayers, Netilat Yadayim</t>
        </is>
      </c>
      <c r="H155" s="12" t="inlineStr">
        <is>
          <t>The Metsudah siddur, 1981 — CC-BY</t>
        </is>
      </c>
      <c r="I155" s="12" t="inlineStr">
        <is>
          <t>sefaria-siddur-ashkenaz-weekday-shacharit-preparatory-prayers-netilat-yadayim</t>
        </is>
      </c>
    </row>
    <row r="156" ht="114" customHeight="1">
      <c r="A156" s="7">
        <f>IF(LEN(TRIM(F156))=0,"Approved","Comment to address")</f>
        <v/>
      </c>
      <c r="B156" s="8" t="inlineStr">
        <is>
          <t>Elokai Neshama</t>
        </is>
      </c>
      <c r="C156" s="8" t="inlineStr">
        <is>
          <t>daily</t>
        </is>
      </c>
      <c r="D156" s="8" t="inlineStr">
        <is>
          <t>Ashkenaz</t>
        </is>
      </c>
      <c r="E156" s="9" t="inlineStr">
        <is>
          <t>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156" s="10" t="inlineStr"/>
      <c r="G156" s="11" t="inlineStr">
        <is>
          <t>Siddur Ashkenaz, Weekday, Shacharit, Preparatory Prayers, Elokai Neshama</t>
        </is>
      </c>
      <c r="H156" s="8" t="inlineStr">
        <is>
          <t>The Metsudah siddur, 1981 — CC-BY</t>
        </is>
      </c>
      <c r="I156" s="8" t="inlineStr">
        <is>
          <t>sefaria-siddur-ashkenaz-weekday-shacharit-preparatory-prayers-elokai-neshama</t>
        </is>
      </c>
    </row>
    <row r="157" ht="97" customHeight="1">
      <c r="A157" s="7">
        <f>IF(LEN(TRIM(F157))=0,"Approved","Comment to address")</f>
        <v/>
      </c>
      <c r="B157" s="12" t="inlineStr">
        <is>
          <t>Tzitzit</t>
        </is>
      </c>
      <c r="C157" s="12" t="inlineStr">
        <is>
          <t>daily</t>
        </is>
      </c>
      <c r="D157" s="12" t="inlineStr">
        <is>
          <t>Ashkenaz</t>
        </is>
      </c>
      <c r="E157" s="13" t="inlineStr">
        <is>
          <t>בָּרוּךְ אַתָּה יְהֹוָה אֱלֹהֵֽינוּ מֶֽלֶךְ הָעוֹלָם אֲשֶׁר קִדְּשָֽׁנוּ בְּמִצְוֹתָיו וְצִוָּֽנוּ עַל־מִצְוַת צִיצִת:
יְהִי רָצוֹן מִלְּ֒פָנֶיךָ יְהֹוָה אֱלֹהַי וֵאלֹהֵי אֲבוֹתַי שֶׁתְּ֒הֵא חֲשׁוּבָה מִצְוַת צִיצִית לְפָנֶֽיךָ כְּאִלּוּ קִיַּמְתִּֽיהָ בְּכָל פְּרָטֶֽיהָ וְדִקְדּוּקֶֽיהָ וְכַוָּנוֹתֶֽיהָ וְתַרְיַ"ג מִצְווֹת הַתְּ֒לוּיוֹת בָּהּ, אָמֵן סֶלָה:</t>
        </is>
      </c>
      <c r="F157" s="10" t="inlineStr"/>
      <c r="G157" s="14" t="inlineStr">
        <is>
          <t>Siddur Ashkenaz, Weekday, Shacharit, Preparatory Prayers, Tzitzit</t>
        </is>
      </c>
      <c r="H157" s="12" t="inlineStr">
        <is>
          <t>The Metsudah siddur, 1981 — CC-BY</t>
        </is>
      </c>
      <c r="I157" s="12" t="inlineStr">
        <is>
          <t>sefaria-siddur-ashkenaz-weekday-shacharit-preparatory-prayers-tzitzit</t>
        </is>
      </c>
    </row>
    <row r="158" ht="165" customHeight="1">
      <c r="A158" s="7">
        <f>IF(LEN(TRIM(F158))=0,"Approved","Comment to address")</f>
        <v/>
      </c>
      <c r="B158" s="8" t="inlineStr">
        <is>
          <t>Torah Blessings</t>
        </is>
      </c>
      <c r="C158" s="8" t="inlineStr">
        <is>
          <t>daily</t>
        </is>
      </c>
      <c r="D158" s="8" t="inlineStr">
        <is>
          <t>Ashkenaz</t>
        </is>
      </c>
      <c r="E158" s="9" t="inlineStr">
        <is>
          <t>בָּרוּךְ אַתָּה יְהֹוָה אֱלֹהֵֽינוּ מֶֽלֶךְ הָעוֹלָם אֲשֶׁר קִדְּ֒שָֽׁנוּ בְּמִצְוֹתָיו וְצִוָּנוּ לַעֲסֹק בְּדִבְרֵי תוֹרָה:
וְהַעֲרֶב נָא יְהֹוָה אֱלֹהֵֽינוּ אֶת־דִּבְרֵי תוֹרָתְךָ בְּפִֽינוּ וּבְפִי עַמְּךָ בֵּית יִשְׂרָאֵל. וְנִהְיֶה אֲנַֽחְנוּ וְצֶאֱצָאֵֽינוּ וְצֶאֱצָאֵי עַמְּךָ בֵּית יִשְׂרָאֵל כֻּלָּֽנוּ יוֹדְעֵי שְׁמֶֽךָ וְלוֹמְדֵי תוֹרָתֶֽךָ. (י"א תוֹרָתְךָ) לִשְׁמָהּ. בָּרוּךְ אַתָּה יְהֹוָה הַמְלַמֵּד תּוֹרָה לְעַמּוֹ יִשְׂרָאֵל.
בָּרוּךְ אַתָּה יְהֹוָה אֱלֹהֵֽינוּ מֶֽלֶךְ הָעוֹלָם אֲשֶׁר בָּֽחַר בָּֽנוּ מִכָּל הָעַמִּים וְנָֽתַן לָֽנוּ אֶת־תּוֹרָתוֹ: בָּרוּךְ אַתָּה יְהֹוָה נוֹתֵן הַתּוֹרָה:</t>
        </is>
      </c>
      <c r="F158" s="10" t="inlineStr"/>
      <c r="G158" s="11" t="inlineStr">
        <is>
          <t>Siddur Ashkenaz, Weekday, Shacharit, Preparatory Prayers, Torah Blessings</t>
        </is>
      </c>
      <c r="H158" s="8" t="inlineStr">
        <is>
          <t>The Metsudah siddur, 1981 — CC-BY</t>
        </is>
      </c>
      <c r="I158" s="8" t="inlineStr">
        <is>
          <t>sefaria-siddur-ashkenaz-weekday-shacharit-preparatory-prayers-torah-blessings</t>
        </is>
      </c>
    </row>
    <row r="159" ht="97" customHeight="1">
      <c r="A159" s="7">
        <f>IF(LEN(TRIM(F159))=0,"Approved","Comment to address")</f>
        <v/>
      </c>
      <c r="B159" s="12" t="inlineStr">
        <is>
          <t>Ma Tovu</t>
        </is>
      </c>
      <c r="C159" s="12" t="inlineStr">
        <is>
          <t>daily</t>
        </is>
      </c>
      <c r="D159" s="12" t="inlineStr">
        <is>
          <t>Ashkenaz</t>
        </is>
      </c>
      <c r="E159" s="13" t="inlineStr">
        <is>
          <t>מַה־טֹּֽבוּ אֹהָלֶֽיךָ יַעֲקֹב מִשְׁכְּ֒נֹתֶֽיךָ יִשְׂרָאֵל: וַאֲנִי בְּרֹב חַסְדְּ֒ךָ אָבוֹא בֵיתֶֽךָ אֶשְׁתַּחֲוֶה אֶל־הֵיכַל־קָדְשְׁ֒ךָ בְּיִרְאָתֶֽךָ: יְהֹוָה אָהַֽבְתִּי מְעוֹן בֵּיתֶֽךָ וּמְקוֹם מִשְׁכַּן כְּבוֹדֶֽךָ: וַאֲנִי אֶשְׁתַּחֲוֶה וְאֶכְרָֽעָה אֶבְרְ֒כָה לִפְנֵי יְהֹוָה עֹשִׂי: וַאֲנִי תְפִלָּתִי־לְךָ יְהֹוָה עֵת רָצוֹן אֱלֹהִים בְּרָב־חַסְדֶּֽךָ עֲנֵֽנִי בֶּאֱמֶת יִשְׁעֶֽךָ:</t>
        </is>
      </c>
      <c r="F159" s="10" t="inlineStr"/>
      <c r="G159" s="14" t="inlineStr">
        <is>
          <t>Siddur Ashkenaz, Weekday, Shacharit, Preparatory Prayers, Ma Tovu</t>
        </is>
      </c>
      <c r="H159" s="12" t="inlineStr">
        <is>
          <t>The Metsudah siddur, 1981 — CC-BY</t>
        </is>
      </c>
      <c r="I159" s="12" t="inlineStr">
        <is>
          <t>sefaria-siddur-ashkenaz-weekday-shacharit-preparatory-prayers-ma-tovu</t>
        </is>
      </c>
    </row>
    <row r="160" ht="182" customHeight="1">
      <c r="A160" s="7">
        <f>IF(LEN(TRIM(F160))=0,"Approved","Comment to address")</f>
        <v/>
      </c>
      <c r="B160" s="8" t="inlineStr">
        <is>
          <t>Adon Olam</t>
        </is>
      </c>
      <c r="C160" s="8" t="inlineStr">
        <is>
          <t>daily</t>
        </is>
      </c>
      <c r="D160" s="8" t="inlineStr">
        <is>
          <t>Ashkenaz</t>
        </is>
      </c>
      <c r="E160" s="9" t="inlineStr">
        <is>
          <t>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t>
        </is>
      </c>
      <c r="F160" s="10" t="inlineStr"/>
      <c r="G160" s="11" t="inlineStr">
        <is>
          <t>Siddur Ashkenaz, Weekday, Shacharit, Preparatory Prayers, Adon Olam</t>
        </is>
      </c>
      <c r="H160" s="8" t="inlineStr">
        <is>
          <t>The Metsudah siddur, 1981 — CC-BY</t>
        </is>
      </c>
      <c r="I160" s="8" t="inlineStr">
        <is>
          <t>sefaria-siddur-ashkenaz-weekday-shacharit-preparatory-prayers-adon-olam</t>
        </is>
      </c>
    </row>
    <row r="161" ht="409" customHeight="1">
      <c r="A161" s="7">
        <f>IF(LEN(TRIM(F161))=0,"Approved","Comment to address")</f>
        <v/>
      </c>
      <c r="B161" s="12" t="inlineStr">
        <is>
          <t>Yigdal</t>
        </is>
      </c>
      <c r="C161" s="12" t="inlineStr">
        <is>
          <t>daily</t>
        </is>
      </c>
      <c r="D161" s="12" t="inlineStr">
        <is>
          <t>Ashkenaz</t>
        </is>
      </c>
      <c r="E161" s="13" t="inlineStr">
        <is>
          <t>פיוט המיוסד על שלושה עשר עקרי האמונה. מיוחס לר' דניאל בן יהודה הרומי
מציאות השם
יִגְדַּל אֱלֹהִים חַי וְיִשְׁתַּבַּח, נִמְצָא וְאֵין עֵת אֶל מְצִיאוּתוֹ:
אחדות השם
אֶחָד וְאֵין יָחִיד כְּיִחוּדוֹ, נֶעְלָם וְגַם אֵין סוֹף לְאַחְדּוּתוֹ:
שאינו גוף
אֵין לוֹ דְמוּת הַגּוּף וְאֵינוֹ גוּף, לֹא נַעֲרֹךְ אֵלָיו קְדֻשָּׁתוֹ:
קדמות השם
קַדְמוֹן לְכָל־דָּבָר אֲשֶׁר נִבְרָא, רִאשׁוֹן וְאֵין רֵאשִׁית לְרֵאשִׁיתוֹ:
שרק אותו ראוי לעבוד
הִנּוֹ אֲדוֹן עוֹלָם לְכָל־נוֹצָר, יוֹרֶה גְדֻלָּתוֹ וּמַלְכוּתוֹ:
נבואה
שֶֽׁפַע נְבוּאָתוֹ נְתָנוֹ, אֶל אַנְשֵׁי סְגֻלָּתוֹ וְתִפְאַרְתּוֹ:
נבואת משה אמיתית
לֹא קָם בְּיִשְׂרָאֵל כְּמשֶׁה עוֹד, נָבִיא וּמַבִּיט אֶת־תְּמוּנָתוֹ:
תורה מן השמים
תּוֹרַת אֱמֶת נָתַן לְעַמּוֹ אֵל, עַל יַד נְבִיאוֹ נֶאֱמַן בֵּיתוֹ:
נצחיות התורה
לֹא יַחֲלִיף הָאֵל וְלֹא יָמִיר דָּתוֹ, לְעוֹלָמִים לְזוּלָתוֹ:
השגחה
צוֹפֶה וְיוֹדֵֽעַ סְתָרֵֽינוּ, מַבִּיט לְסוֹף דָּבָר בְּקַדְמָתוֹ:
שכר ועונש
גּוֹמֵל לְאִישׁ חֶֽסֶד כְּמִפְעָלוֹ, נוֹתֵן לְרָשָׁע רָע כְּרִשְׁעָתוֹ:
ביאת המשיח
יִשְׁלַח לְקֵץ הַיָּמִין מְשִׁיחֵֽנוּ, לִפְדּוֹת מְחַכֵּי קֵץ יְשׁוּעָתוֹ:
תחיית המתים
מֵתִים יְחַיֶּה אֵל בְּרֹב חַסְדּוֹ, בָּרוּךְ עֲדֵי עַד שֵׁם תְּהִלָּתוֹ:</t>
        </is>
      </c>
      <c r="F161" s="10" t="inlineStr"/>
      <c r="G161" s="14" t="inlineStr">
        <is>
          <t>Siddur Ashkenaz, Weekday, Shacharit, Preparatory Prayers, Yigdal</t>
        </is>
      </c>
      <c r="H161" s="12" t="inlineStr">
        <is>
          <t>The Metsudah siddur, 1981 — CC-BY</t>
        </is>
      </c>
      <c r="I161" s="12" t="inlineStr">
        <is>
          <t>sefaria-siddur-ashkenaz-weekday-shacharit-preparatory-prayers-yigdal</t>
        </is>
      </c>
    </row>
    <row r="162" ht="409" customHeight="1">
      <c r="A162" s="7">
        <f>IF(LEN(TRIM(F162))=0,"Approved","Comment to address")</f>
        <v/>
      </c>
      <c r="B162" s="8" t="inlineStr">
        <is>
          <t>Akedah</t>
        </is>
      </c>
      <c r="C162" s="8" t="inlineStr">
        <is>
          <t>daily</t>
        </is>
      </c>
      <c r="D162" s="8" t="inlineStr">
        <is>
          <t>Ashkenaz</t>
        </is>
      </c>
      <c r="E162" s="9" t="inlineStr">
        <is>
          <t>אֱלֹהֵֽינוּ וֵאלֹהֵי אֲבוֹתֵֽינוּ זָכְרֵֽנוּ בְּזִכָּרוֹן טוֹב לְפָנֶֽיךָ וּפָקְדֵֽנוּ בִּפְקֻדַּת יְשׁוּעָה וְרַחֲמִים מִשְּׁ֒מֵי שְׁמֵי קֶֽדֶם וּזְכָר לָֽנוּ יְהֹוָה אֱלֹהֵֽינוּ אַהֲבַת הַקַּדְמוֹנִים אַבְרָהָם יִצְחָק וְיִשְׂרָאֵל עֲבָדֶֽיךָ אֶת־הַבְּ֒רִית וְאֶת־הַחֶֽסֶד וְאֶת־הַשְּׁ֒בוּעָה שֶׁנִּשְׁבַּֽעְתָּ לְאַבְרָהָם אָבִֽינוּ בְּהַר הַמֹּרִיָּה וְאֶת־הָעֲקֵדָה שֶׁעָקַד אֶת־יִצְחָק בְּנוֹ עַל גַּבֵּי הַמִּזְבֵּֽחַ כַּכָּתוּב בְּתוֹרָתֶֽךָ:
וַיְהִי אַחַר הַדְּ֒בָרִים הָאֵֽלֶּה וְהָאֱלֹהִים נִסָּה אֶת־אַבְרָהָם וַיֹּֽאמֶר אֵלָיו אַבְרָהָם וַיֹּֽאמֶר הִנֵּֽנִי: וַיֹּֽאמֶר קַח־נָא אֶת־בִּנְךָ אֶת־יְחִידְ֒ךָ אֲשֶׁר־אָהַֽבְתָּ אֶת־יִצְחָק וְלֶךְ־לְךָ אֶל־אֶֽרֶץ הַמֹּרִיָּה וְהַעֲלֵֽהוּ שָׁם לְעֹלָה עַל אַחַד הֶהָרִים אֲשֶׁר אֹמַר אֵלֶֽיךָ: וַיַּשְׁכֵּם אַבְרָהָם בַּבֹּֽקֶר וַיַּחֲבשׁ אֶת־חֲמֹרוֹ וַיִּקַּח אֶת־שְׁנֵי נְעָרָיו אִתּוֹ וְאֵת יִצְחָק בְּנוֹ וַיְבַקַּע עֲצֵי עֹלָה וַיָּֽקָם וַיֵּֽלֶךְ אֶל־הַמָּקוֹם אֲשֶׁר־אָֽמַר־לוֹ הָאֱלֹהִֽים: בַּיּוֹם הַשְּׁ֒לִישִׁי וַיִּשָּׂא אַבְרָהָם אֶת־עֵינָיו וַיַּרְא אֶת־הַמָּקוֹם מֵרָחֹק: וַיֹּֽאמֶר אַבְרָהָם אֶל־נְעָרָיו שְׁבוּ־לָכֶם פֹּה עִם־הַחֲמוֹר וַאֲנִי וְהַנַּֽעַר נֵלְ֒כָה עַד־כֹּה וְנִשְׁתַּחֲוֶה וְנָשֽׁוּבָה אֲלֵיכֶם: וַיִּקַּח אַבְרָהָם אֶת־עֲצֵי הָעֹלָה וַיָּֽשֶׂם עַל־יִצְחָק בְּנוֹ וַיִּקַּח בְּיָדוֹ אֶת־הָאֵשׁ וְאֶת־הַמַּאֲכֶֽלֶת וַיֵּלְ֒כוּ שְׁנֵיהֶם יַחְדָּו: וַיֹּֽאמֶר יִצְחָק אֶל־אַבְרָהָם אָבִיו וַיֹּֽאמֶר אָבִי וַיֹּֽאמֶר הִנֶּֽנִּי בְנִי וַיֹּֽאמֶר הִנֵּה הָאֵשׁ וְהָעֵצִים וְאַיֵּה הַשֶּׂה לְעֹלָֽה: וַיֹּֽאמֶר אַבְרָהָם אֱלֹהִים יִרְאֶה־לּוֹ הַשֶּׂה לְעֹלָה בְּנִי וַיֵּלְ֒כוּ שְׁנֵיהֶם יַחְדָּו: וַיָּבֹֽאוּ אֶל־הַמָּקוֹם אֲשֶׁר אָֽמַר־לוֹ הָאֱלֹהִים וַיִּֽבֶן שָׁם אַבְרָהָם אֶת־הַמִּזְבֵּֽחַ וַיַּעֲרֹךְ אֶת־הָעֵצִים וַיַּעֲקֹד אֶת־יִצְחָק בְּנוֹ וַיָּֽשֶׂם אֹתוֹ עַל־הַמִּזְבֵּֽחַ מִמַּֽעַל לָעֵצִים: וַיִּשְׁלַח אַבְרָהָם אֶת־יָדוֹ וַיִּקַּח אֶת־הַמַּאֲכֶֽלֶת לִשְׁחֹט אֶת־בְּנוֹ: וַיִּקְרָא אֵלָיו מַלְאַךְ יְהֹוָה מִן־הַשָּׁמַֽיִם וַיֹּֽאמֶר אַבְרָהָם אַבְרָהָם וַיֹּֽאמֶר הִנֵּֽנִי: וַיֹּֽאמֶר אַל־תִּשְׁלַח יָֽדְ֒ךָ אֶל־הַנַּֽעַר וְאַל־תַּֽעַשׂ לוֹ מְאוּמָה כִּי עַתָּה יָדַֽעְתִּי כִּי־יְרֵא אֱלֹהִים אַֽתָּה וְלֹא חָשַֽׂכְתָּ אֶת־בִּנְךָ אֶת־יְחִידְ֒ךָ מִמֶּֽנִּי: וַיִּשָּׂא אַבְרָהָם אֶת־עֵינָיו וַיַּרְא וְהִנֵּה־אַֽיִל אַחַר נֶאֱחַז בַּסְּ֒בַךְ בְּקַרְנָיו וַיֵּֽלֶךְ אַבְרָהָם וַיִּקַּח אֶת־הָאַֽיִל וַיַּעֲלֵֽהוּ לְעֹלָה תַּֽחַת בְּנוֹ: וַיִּקְרָא אַבְרָהָם שֵׁם־הַמָּקוֹם הַהוּא יְהֹוָה יִרְאֶה אֲשֶׁר יֵאָמֵר הַיּוֹם בְּהַר יְהֹוָה יֵרָאֶה: וַיִּקְרָא מַלְאַךְ יְהֹוָה אֶל־אַבְרָהָם שֵׁנִית מִן־הַשָּׁמָֽיִם: וַיֹּֽאמֶר בִּי נִשְׁבַּֽעְתִּי נְאֻם־יְהֹוָה כִּי יַֽעַן אֲשֶׁר עָשִֽׂיתָ אֶת־הַדָּבָר הַזֶּה וְלֹא חָשַֽׂכְתָּ אֶת־בִּנְךָ אֶת־יְחִידֶֽךָ: כִּי־בָרֵךְ אֲבָרֶכְ֒ךָ וְהַרְבָּה אַרְבֶּה אֶת־זַרְעֲךָ כְּכוֹכְ֒בֵי הַשָּׁמַֽיִם וְכַחוֹל אֲשֶׁר עַל־שְׂפַת הַיָּם וְיִרַשׁ זַרְעֲךָ אֵת שַֽׁעַר אֹיְ֒בָיו: וְהִתְבָּרְ֒כוּ בְזַרְעֲךָ כֹּל גּוֹיֵי הָאָֽרֶץ עֵֽקֶב אֲשֶׁר שָׁמַֽעְתָּ בְּקֹלִי: וַיָּֽשָׁב אַבְרָהָם אֶל־נְעָרָיו וַיָּקֻֽמוּ וַיֵּלְ֒כוּ יַחְדָּו אֶל־בְּאֵר שָֽׁבַע וַיֵּֽשֶׁב אַבְרָהָם בִּבְאֵר שָֽׁבַע:
רִבּוֹנוֹ שֶׁל עוֹלָם יְהִי רָצוֹן מִלְּפָנֶֽיךָ יְהֹוָה אֱלֹהֵֽינוּ וֵאלֹהֵי אֲבוֹתֵֽינוּ שֶׁתִּזְכֹּר לָֽנוּ בְּרִית אֲבוֹתֵֽינוּ כְּמוֹ שֶׁכָּבַשׁ אַבְרָהָם אָבִֽינוּ אֶת רַחֲמָיו מִבֶּן יְחִידוֹ וְרָצָה לִשְׁחֹט אוֹתוֹ כְּדֵי לַעֲשׂוֹת רְצוֹנֶֽךָ כֵּן יִכְבְּשׁוּ רַחֲמֶֽיךָ אֶת־כַּעַסְךָ מֵעָלֵֽינוּ וְיָגֹֽלּוּ רַחֲמֶֽיךָ עַל מִדּוֹתֶֽיךָ, וְתִכָּנֵס אִתָּֽנוּ לִפְנִים מִשּׁוּרַת דִּינֶֽךָ וְתִתְנַהֵג עִמָּֽנוּ יְהֹוָה אֱלֹהֵֽינוּ בְּמִדַּת הַחֶֽסֶד וּבְמִדַּת הָרַחֲמִים וּבְטוּבְךָ הַגָּדוֹל יָשׁוּב חֲרוֹן אַפְּ֒ךָ מֵעַמְּ֒ךָ וּמֵעִירְ֒ךָ וּמֵאַרְצְ֒ךָ וּמִנַּחֲלָתֶֽךָ וְקַיֶּם לָֽנוּ יְהֹוָה אֱלֹהֵֽינוּ אֶת־הַדָּבָר שֶׁהִבְטַחְתָּֽנוּ עַל יְדֵי משֶׁה עַבְדֶּֽךָ כָּאָמוּר: וְזָכַרְתִּי אֶת־בְּרִיתִי יַעֲקוֹב וְאַף אֶת־בְּרִיתִי יִצְחָק וְאַף אֶת־בְּרִיתִי אַבְרָהָם אֶזְכֹּר וְהָאָֽרֶץ אֶזְכֹּר:</t>
        </is>
      </c>
      <c r="F162" s="10" t="inlineStr"/>
      <c r="G162" s="11" t="inlineStr">
        <is>
          <t>Siddur Ashkenaz, Weekday, Shacharit, Preparatory Prayers, Akedah</t>
        </is>
      </c>
      <c r="H162" s="8" t="inlineStr">
        <is>
          <t>The Metsudah siddur, 1981 — CC-BY</t>
        </is>
      </c>
      <c r="I162" s="8" t="inlineStr">
        <is>
          <t>sefaria-siddur-ashkenaz-weekday-shacharit-preparatory-prayers-akedah</t>
        </is>
      </c>
    </row>
    <row r="163" ht="409" customHeight="1">
      <c r="A163" s="7">
        <f>IF(LEN(TRIM(F163))=0,"Approved","Comment to address")</f>
        <v/>
      </c>
      <c r="B163" s="12" t="inlineStr">
        <is>
          <t>Sovereignty of Heaven</t>
        </is>
      </c>
      <c r="C163" s="12" t="inlineStr">
        <is>
          <t>daily</t>
        </is>
      </c>
      <c r="D163" s="12" t="inlineStr">
        <is>
          <t>Ashkenaz</t>
        </is>
      </c>
      <c r="E163" s="13" t="inlineStr">
        <is>
          <t>לְעוֹלָם יְהֵא אָדָם יְרֵא שָׁמַֽיִם בְּסֵֽתֶר וּבַגָּלוּי וּמוֹדֶה עַל־הָאֱמֶת וְדוֹבֵר אֱמֶת בִּלְבָבוֹ וְיַשְׁכֵּם וְיֹאמַר:
רִבּוֹן כָּל הָעוֹלָמִים לֹא עַל צִדְקוֹתֵֽינוּ אֲנַֽחְנוּ מַפִּילִים תַּחֲנוּנֵֽינוּ לְפָנֶֽיךָ כִּי עַל רַחֲמֶֽיךָ הָרַבִּים, מָה אָֽנוּ מֶה חַיֵּֽינוּ מֶה חַסְדֵּֽנוּ, מַה צִּדְקוֹתֵֽינוּ, מַה יְּשׁוּעָתֵֽנוּ, מַה כֹּחֵֽנוּ מַה גְּבוּרָתֵֽנוּ, מַה נֹּאמַר לְפָנֶֽיךָ יְהֹוָה אֱלֹהֵֽינוּ וֵאלֹהֵי אֲבוֹתֵֽינוּ הֲלֹא כָּל הַגִּבּוֹרִים כְּאַֽיִן לְפָנֶֽיךָ וְאַנְשֵׁי הַשֵּׁם כְּלֹא הָיוּ וַחֲכָמִים כִּבְלִי מַדָּע וּנְבוֹנִים כִּבְלִי הַשְׂכֵּל כִּי רוֹב מַעֲשֵׂיהֶם תֹּֽהוּ וִימֵי חַיֵּיהֶם הֶֽבֶל לְפָנֶֽיךָ, וּמוֹתַר הָאָדָם מִן הַבְּ֒הֵמָה אָֽיִן כִּי הַכֹּל הָֽבֶל:
אֲבָל אֲנַֽחְנוּ עַמְּ֒ךָ בְּנֵי בְרִיתֶֽךָ, בְּנֵי אַבְרָהָם אֹהַבְךָ שֶׁנִּשְׁבַּֽעְתָּ לּוֹ בְּהַר הַמֹּרִיָּה, זֶֽרַע יִצְחָק יְחִידוֹ שֶׁנֶּעֱקַד עַל גַּבֵּי הַמִּזְבֵּֽחַ, עֲדַת יַעֲקֹב בִּנְךָ בְּכוֹרֶֽךָ שֶׁמֵּאַהֲבָתְ֒ךָ שֶׁאָהַֽבְתָּ אוֹתוֹ וּמִשִּׂמְחָתְ֒ךָ שֶׁשָּׂמַֽחְתָּ בּוֹ קָרָֽאתָ אֶת שְׁמוֹ יִשְׂרָאֵל וִישֻׁרוּן:
לְפִיכָךְ אֲנַֽחְנוּ חַיָּבִים לְהוֹדוֹת לְךָ וּלְשַׁבֵּחֲךָ וּלְפָאֶרְךָ וּלְבָרֵךְ וּלְקַדֵּשׁ וְלָֽתֶת־שֶֽׁבַח וְהוֹדָיָה לִשְׁמֶֽךָ: אַשְׁרֵֽינוּ מַה־טּוֹב חֶלְקֵֽנוּ וּמַה־נָּעִים גּוֹרָלֵֽנוּ וּמַה־יָּפָה יְרֻשָּׁתֵֽנוּ: אַשְׁרֵֽינוּ שֶׁאֲנַֽחְנוּ מַשְׁכִּימִים וּמַעֲרִיבִים עֶֽרֶב וָבֹֽקֶר וְאוֹמְ֒רִים פַּעֲמַֽיִם בְּכָל־יוֹם:
שְׁמַע יִשְׂרָאֵל יְהֹוָה אֱלֹהֵֽינוּ יְהֹוָה אֶחָד: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אַתָּה הוּא עַד שֶׁלֹּא נִבְרָא הָעוֹלָם, אַתָּה הוּא מִשֶּׁנִּבְרָא הָעוֹלָם, אַתָּה הוּא בָּעוֹלָם הַזֶּה וְאַתָּה הוּא לָעוֹלָם הַבָּא, קַדֵּשׁ אֶת־שִׁמְךָ עַל מַקְדִּישֵׁי שְׁמֶֽךָ וְקַדֵּשׁ אֶת־שִׁמְךָ בְּעֹלָמֶֽךָ, וּבִישׁוּעָתְ֒ךָ תָּרוּם וְתַגְבִּֽיהַּ קַרְנֵֽנוּ: בָּרוּךְ אַתָּה יְהֹוָה מְקַדֵּשׁ אֶת־שִׁמְךָ בָּרַבִּים:
אַתָּה הוּא יְהֹוָה אֱלֹהֵֽינוּ בַּשָּׁמַֽיִם וּבָאָֽרֶץ וּבִשְׁמֵי הַשָּׁמַֽיִם הָעֶלְיוֹנִים. אֱמֶת אַתָּה הוּא רִאשׁוֹן וְאַתָּה הוּא אַחֲרוֹן וּמִבַּלְעָדֶֽיךָ אֵין אֱלֹהִים. קַבֵּץ קֹוֶֽיךָ מֵאַרְבַּע כַּנְפוֹת הָאָֽרֶץ. יַכִּֽירוּ וְיֵדְ֒עוּ כָּל־בָּאֵי עוֹלָם כִּי אַתָּה הוּא הָאֱלֹהִים לְבַדְּ֒ךָ לְכֹל מַמְלְ֒כוֹת הָאָֽרֶץ. אַתָּה עָשִֽׂיתָ אֶת־הַשָּׁמַֽיִם וְאֶת־הָאָֽרֶץ אֶת־הַיָּם וְאֶת־כָּל־אֲשֶׁר בָּם. וּמִי בְּכָל־מַעֲשֵׂי יָדֶֽיךָ בָּעֶלְיוֹנִים אוֹ בַתַּחְתּוֹנִים שֶׁיֹּאמַר לְךָ מַה תַּעֲשֶׂה. אָבִֽינוּ שֶׁבַּשָּׁמַֽיִם עֲשֵׂה עִמָּֽנוּ חֶֽסֶד בַּעֲבוּר שִׁמְךָ הַגָּדוֹל שֶׁנִּקְרָא עָלֵֽינוּ וְקַיֶּם־לָֽנוּ יְהֹוָה אֱלֹהֵֽינוּ מַה שֶּׁכָּתוּב בָּעֵת הַהִיא אָבִיא אֶתְכֶם וּבָעֵת קַבְּ֒צִי אֶתְכֶם כִּֽי־אֶתֵּן אֶתְכֶם לְשֵׁם וְלִתְהִלָּה בְּכֹל עַמֵּי הָאָרֶץ בְּשׁוּבִי אֶת־שְׁבֽוּתֵיכֶם לְעֵֽינֵיכֶם אָמַר יְהֹוָֽה:</t>
        </is>
      </c>
      <c r="F163" s="10" t="inlineStr"/>
      <c r="G163" s="14" t="inlineStr">
        <is>
          <t>Siddur Ashkenaz, Weekday, Shacharit, Preparatory Prayers, Sovereignty of Heaven</t>
        </is>
      </c>
      <c r="H163" s="12" t="inlineStr">
        <is>
          <t>The Metsudah siddur, 1981 — CC-BY</t>
        </is>
      </c>
      <c r="I163" s="12" t="inlineStr">
        <is>
          <t>sefaria-siddur-ashkenaz-weekday-shacharit-preparatory-prayers-sovereignty-of-heaven</t>
        </is>
      </c>
    </row>
    <row r="164" ht="165" customHeight="1">
      <c r="A164" s="7">
        <f>IF(LEN(TRIM(F164))=0,"Approved","Comment to address")</f>
        <v/>
      </c>
      <c r="B164" s="8" t="inlineStr">
        <is>
          <t>Kiyor</t>
        </is>
      </c>
      <c r="C164" s="8" t="inlineStr">
        <is>
          <t>daily</t>
        </is>
      </c>
      <c r="D164" s="8" t="inlineStr">
        <is>
          <t>Ashkenaz</t>
        </is>
      </c>
      <c r="E164" s="9" t="inlineStr">
        <is>
          <t>אמרו חכמים (מנחות קי.): מאי דכתיב זאת תורת החטאת וזאת תורת האשם. כל העוסק בתורת חטאת כאילו הקריב חטאת וכל העוסק בתורת אשם כאילו הקריב אשם. ולכן אין די באמירת הפסוקים לבד אלא יתבונן בטעמי הקרבנות ובדיניהם כפי השגתו.
וַיְדַבֵּר יְהֹוָה אֶל־משֶׁה לֵּאמֹר: וְעָשִֽׂיתָ כִּיּוֹר נְחֽשֶׁת וְכַנּוֹ נְחֽשֶׁת לְרָחְצָה וְנָתַתָּ אֹתוֹ בֵּין־אֹֽהֶל מוֹעֵד וּבֵין הַמִּזְבֵּֽחַ וְנָתַתָּ שָֽׁמָּה מָֽיִם: וְרָחֲצוּ אַהֲרֹן וּבָנָיו מִמֶּֽנּוּ אֶת־יְדֵיהֶם וְאֶת־רַגְלֵיהֶם: בְּבֹאָם אֶל־אֹֽהֶל מוֹעֵד יִרְחֲצוּ־מַֽיִם וְלֹא יָמֻֽתוּ אוֹ בְגִשְׁתָּם אֶל־הַמִּזְבֵּֽחַ לְשָׁרֵת לְהַקְטִיר אִשֶּׁה לַיהוָֹה: וְרָחֲצוּ יְדֵיהֶם וְרַגְלֵיהֶם וְלֹא יָמֻֽתוּ וְהָיְ֒תָה לָהֶם חָק־עוֹלָם לוֹ וּלְזַרְעוֹ לְדֹרֹתָם:</t>
        </is>
      </c>
      <c r="F164" s="10" t="inlineStr"/>
      <c r="G164" s="11" t="inlineStr">
        <is>
          <t>Siddur Ashkenaz, Weekday, Shacharit, Preparatory Prayers, Korbanot, Kiyor</t>
        </is>
      </c>
      <c r="H164" s="8" t="inlineStr">
        <is>
          <t>The Metsudah siddur, 1981 — CC-BY</t>
        </is>
      </c>
      <c r="I164" s="8" t="inlineStr">
        <is>
          <t>sefaria-siddur-ashkenaz-weekday-shacharit-preparatory-prayers-korbanot-kiyor</t>
        </is>
      </c>
    </row>
    <row r="165" ht="267" customHeight="1">
      <c r="A165" s="7">
        <f>IF(LEN(TRIM(F165))=0,"Approved","Comment to address")</f>
        <v/>
      </c>
      <c r="B165" s="12" t="inlineStr">
        <is>
          <t>Terumat HaDeshen</t>
        </is>
      </c>
      <c r="C165" s="12" t="inlineStr">
        <is>
          <t>daily</t>
        </is>
      </c>
      <c r="D165" s="12" t="inlineStr">
        <is>
          <t>Ashkenaz</t>
        </is>
      </c>
      <c r="E165" s="13" t="inlineStr">
        <is>
          <t>תרומת הדשן קודמת לכל עבודות לפיכך יאמר פרשת תרומת הדשן קודם פרשת התמיד. ואומרה אף שלא האיר היום.
וַיְדַבֵּר יְהֹוָה אֶל־משֶׁה לֵּאמֹר: צַו אֶת־אַהֲרֹן וְאֶת־בָּנָיו לֵאמֹר זֹאת תּוֹרַת הָעֹלָה הִוא הָעֹלָה עַל מוֹקְ֒דָה עַל־הַמִּזְבֵּֽחַ כָּל־הַלַּֽיְלָה עַד־הַבֹּֽקֶר וְאֵשׁ הַמִּזְבֵּֽחַ תּוּקַד בּוֹ: וְלָבַשׁ הַכֹּהֵן מִדּוֹ בַד וּמִכְנְ֒סֵי־בַד יִלְבַּשׁ עַל־בְּשָׂרוֹ וְהֵרִים אֶת־הַדֶּֽשֶׁן אֲשֶׁר תֹּאכַל הָאֵשׁ אֶת הָעֹלָה עַל־הַמִּזְבֵּֽחַ וְשָׂמוֹ אֵֽצֶל הַמִּזְבֵּֽחַ: וּפָשַׁט אֶת־בְּגָדָיו וְלָבַשׁ בְּגָדִים אֲחֵרִים וְהוֹצִיא אֶת־הַדֶּֽשֶׁן אֶל־מִחוּץ לַמַּחֲנֶה אֶל־מָקוֹם טָהוֹר: וְהָאֵשׁ עַל־הַמִּזְבֵּֽחַ תּֽוּקַד־בּוֹ לֹא תִכְבֶּה וּבִעֵר עָלֶֽיהָ הַכֹּהֵן עֵצִים בַּבֹּֽקֶר בַּבֹּֽקֶר וְעָרַךְ עָלֶֽיהָ הָעֹלָה וְהִקְטִיר עָלֶֽיהָ חֶלְבֵי הַשְּׁ֒לָמִים: אֵשׁ תָּמִיד תּוּקַד עַל־הַמִּזְבֵּֽחַ לֹא תִכְבֶּה:
אומרים פרשת התמיד. ואם אי אפשר לאומרה בצבור יכול לאומרה בביתו ולחזור לקרותה עם הצבור. ויכוין בפעם השנייה כקורא בתורה (טור). יש מי שמצריך לעמוד בשעת אמירת הקרבנות, דהקרבת קרבן אינו אלא בעמידה (מגן אברהם).</t>
        </is>
      </c>
      <c r="F165" s="10" t="inlineStr"/>
      <c r="G165" s="14" t="inlineStr">
        <is>
          <t>Siddur Ashkenaz, Weekday, Shacharit, Preparatory Prayers, Korbanot, Terumat HaDeshen</t>
        </is>
      </c>
      <c r="H165" s="12" t="inlineStr">
        <is>
          <t>The Metsudah siddur, 1981 — CC-BY</t>
        </is>
      </c>
      <c r="I165" s="12" t="inlineStr">
        <is>
          <t>sefaria-siddur-ashkenaz-weekday-shacharit-preparatory-prayers-korbanot-terumat-hadeshen</t>
        </is>
      </c>
    </row>
    <row r="166" ht="386" customHeight="1">
      <c r="A166" s="7">
        <f>IF(LEN(TRIM(F166))=0,"Approved","Comment to address")</f>
        <v/>
      </c>
      <c r="B166" s="8" t="inlineStr">
        <is>
          <t>Korban HaTamid</t>
        </is>
      </c>
      <c r="C166" s="8" t="inlineStr">
        <is>
          <t>daily</t>
        </is>
      </c>
      <c r="D166" s="8" t="inlineStr">
        <is>
          <t>Ashkenaz</t>
        </is>
      </c>
      <c r="E166" s="9" t="inlineStr">
        <is>
          <t>יש שאין אומרים 'יהי רצון' בשבת ויום טוב
יְהִי רָצוֹן מִלְּ֒פָנֶֽיךָ, יְהֹוָה אֱלֹהֵֽינוּ וֵאלֹהֵי אֲבוֹתֵֽינוּ, שֶׁתְּ֒רַחֵם עָלֵֽינוּ וְתִמְחָל לָֽנוּ עַל כָּל חַטֹּאתֵֽינוּ וּתְכַפֶּר לָֽנוּ אֶת כָּל עֲוֹנוֹתֵֽינוּ וְתִסְלַח לָֽנוּ עַל־כָּל פְּשָׁעֵֽינוּ וְשֶׁתִּבְנֶה בֵּית הַמִּקְדָּשׁ בִּמְהֵרָה בְיָמֵֽינוּ וְנַקְרִיב לְפָנֶֽיךָ קָרְבַּן הַתָּמִיד שֶׁיְּ֒כַפֵּר בַּעֲדֵֽנוּ כְּמוֹ שֶׁכָּתַֽבְתָּ עָלֵֽינוּ בְּתוֹרָתֶֽךָ, עַל יְדֵי משֶׁה עַבְדֶּֽךָ, מִפִּי כְבוֹדֶֽךָ כָּאָמוּר:
וַיְדַבֵּר יְהֹוָה אֶל־משֶׁה לֵּאמֹר: צַו אֶת־בְּנֵי יִשְׂרָאֵל וְאָמַרְתָּ אֲלֵהֶם אֶת־קָרְבָּנִי לַחְמִי לְאִשַּׁי רֵֽיחַ נִיחֹחִי תִּשְׁמְ֒רוּ לְהַקְרִיב לִי בְּמוֹעֲדוֹ: וְאָמַרְתָּ לָהֶם זֶה הָאִשֶּׁה אֲשֶׁר תַּקְרִֽיבוּ לַיהוָֹה כְּבָשִׂים בְּנֵי־שָׁנָה תְמִימִם שְׁנַֽיִם לַיּוֹם עֹלָה תָמִיד: אֶת־הַכֶּֽבֶשׂ אֶחָד תַּעֲשֶׂה בַבֹּֽקֶר וְאֵת הַכֶּֽבֶשׂ הַשֵּׁנִי תַּעֲשֶׂה בֵּין הָעַרְבָּֽיִם: וַֽעֲשִׂירִית הָאֵיפָה סֹֽלֶת לְמִנְחָה בְּלוּלָה בְּשֶֽׁמֶן כָּתִית רְבִיעִת הַהִין: עֹלַת תָּמִיד הָעֲשֻׂיָה בְּהַר סִינַי לְרֵֽיחַ נִיחֹֽחַ אִשֶּׁה לַיהוָֹה: וְנִסְכּוֹ רְבִיעִת הַהִין לַכֶּֽבֶשׂ הָאֶחָד בַּקֹּֽדֶשׁ הַסֵּךְ נֶֽסֶךְ שֵׁכָר לַיהוָֹה: וְאֵת הַכֶּֽבֶשׂ הַשֵּׁנִי תַּעֲשֶׂה בֵּין הָעַרְבָּֽיִם כְּמִנְחַת הַבֹּֽקֶר וּכְנִסְכּוֹ תַּעֲשֶׂה אִשֵּׁה רֵֽיחַ נִיחֹֽחַ לַיהוָֹה:
וְשָׁחַט אֹתוֹ עַל יֶֽרֶךְ הַמִּזְבֵּֽחַ צָפֹֽנָה לִפְנֵי יְהֹוָה וְזָרְ֒קוּ בְּנֵי אַהֲרֹן הַכֹּהֲנִים אֶת־דָּמוֹ עַל־הַמִּזְבֵּֽחַ סָבִיב:
יְהִי רָצוֹן מִלְּ֒פָנֶֽיךָ יְהֹוָה אֱלֹהֵֽינוּ וֵאלֹהֵי אֲבוֹתֵֽינוּ שֶׁתְּ֒הֵא אֲמִירָה זוּ חֲשׁוּבָה וּמְקֻבֶּֽלֶת וּמְרֻצָּה לְפָנֶֽיךָ כְּאִלּוּ הִקְרַֽבְנוּ קָרְבַּן הַתָּמִיד בְּמוֹעֲדוֹ וּבִמְקוֹמוֹ וּכְהִלְכָתוֹ:</t>
        </is>
      </c>
      <c r="F166" s="10" t="inlineStr"/>
      <c r="G166" s="11" t="inlineStr">
        <is>
          <t>Siddur Ashkenaz, Weekday, Shacharit, Preparatory Prayers, Korbanot, Korban HaTamid</t>
        </is>
      </c>
      <c r="H166" s="8" t="inlineStr">
        <is>
          <t>The Metsudah siddur, 1981 — CC-BY</t>
        </is>
      </c>
      <c r="I166" s="8" t="inlineStr">
        <is>
          <t>sefaria-siddur-ashkenaz-weekday-shacharit-preparatory-prayers-korbanot-korban-hatamid</t>
        </is>
      </c>
    </row>
    <row r="167" ht="409" customHeight="1">
      <c r="A167" s="7">
        <f>IF(LEN(TRIM(F167))=0,"Approved","Comment to address")</f>
        <v/>
      </c>
      <c r="B167" s="12" t="inlineStr">
        <is>
          <t>Order of the Temple Service</t>
        </is>
      </c>
      <c r="C167" s="12" t="inlineStr">
        <is>
          <t>daily</t>
        </is>
      </c>
      <c r="D167" s="12" t="inlineStr">
        <is>
          <t>Ashkenaz</t>
        </is>
      </c>
      <c r="E167" s="13" t="inlineStr">
        <is>
          <t>אַבַּיֵּי הֲוָה מְסַדֵּר סֵֽדֶר הַמַּעֲרָכָה מִשְּׁ֒מָא דִגְמָרָא וְאַלִּבָּא דְאַבָּא שָׁאוּל, מַעֲרָכָה גְדוֹלָה קוֹדֶֽמֶת לְמַעֲרָכָה שְׁנִיָּה שֶׁל קְטֹֽרֶת, וּמַעֲרָכָה שְׁנִיָּה שֶׁל קְטֹֽרֶת קוֹדֶֽמֶת לְסִדּוּר שְׁנֵי גִזְרֵי עֵצִים, וְסִדּוּר שְׁנֵי גִזְרֵי עֵצִים קֽוֹדֶם לְדִשּׁוּן מִזְבֵּֽחַ הַפְּ֒נִימִי, וְדִשּׁוּן מִזְבֵּֽחַ הַפְּ֒נִימִי קֽוֹדֶם לְהַטָּבַת חָמֵשׁ נֵרוֹת, וְהַטָּבַת חָמֵשׁ נֵרוֹת קוֹדֶֽמֶת לְדַם הַתָּמִיד, וְדַם הַתָּמִיד קֽוֹדֶם לְהַטָּבַת שְׁתֵּי נֵרוֹת, וְהַטָּבַת שְׁתֵּי נֵרוֹת קוֹדֶֽמֶת לִקְטֹֽרֶת, וּקְטֹֽרֶת קוֹדֶֽמֶת לְאֵבָרִים, וְאֵבָרִים לְמִנְחָה, וּמִנְחָה לַחֲבִתִּין, וַחֲבִתִּין לִנְסָכִין, וּנְסָכִין לְמוּסָפִין, וּמוּסָפִין לְבָזִיכִין, וּבָזִיכִין קוֹדְ֒מִין לְתָמִיד שֶׁל בֵּין הָעַרְבָּֽיִם, שֶׁנֶּאֱמַר וְעָרַךְ עָלֶֽיהָ הָעֹלָה וְהִקְטִיר עָלֶֽיהָ חֶלְבֵי הַשְּׁ֒לָמִים, עָלֶֽיהָ הַשְׁלֵם כָּל הַקָּרְבָּנוֹת כֻּלָּם:
אָנָּא בְּכֹֽחַ גְּדֻלַּת יְמִינְ֒ךָ תַּתִּיר צְרוּרָה: קַבֵּל רִנַּת עַמְּ֒ךָ שַׂגְּ֒בֵֽנוּ טַהֲרֵֽנוּ נוֹרָא: נָא גִבּוֹר דּוֹרְ֒שֵׁי יִחוּדְ֒ךָ כְּבָבַת שָׁמְרֵם: בָּרְ֒כֵם טַהֲרֵם רַחֲמֵם צִדְקָתְ֒ךָ תָּמִיד גָּמְלֵם: חֲסִין קָדוֹשׁ בְּרֹב טוּבְ֒ךָ נַהֵל עֲדָתֶֽךָ: יָחִיד גֵּאֶה לְעַמְּ֒ךָ פְּנֵה, זוֹכְ֒רֵי קְדֻשָּׁתֶֽךָ: שַׁוְעָתֵֽנוּ קַבֵּל וּשְׁמַע צַעֲקָתֵֽנוּ יוֹדֵֽעַ תַּעֲלוּמוֹת: בָּרוּךְ שֵׁם כְּבוֹד מַלְכוּתוֹ לְעוֹלָם וָעֶד:
רִבּוֹן הָעוֹלָמִים אַתָּה צִוִּיתָֽנוּ לְהַקְרִיב קָרְבַּן הַתָּמִיד בְּמוֹעֲדוֹ וְלִהְיוֹת כֹּהֲנִים בַּעֲבוֹדָתָם וּלְוִיִּם בְּדוּכָנָם וְיִשְׂרָאֵל בְּמַעֲמָדָם. וְעַתָּה בַּעֲוֹנוֹתֵֽינוּ חָרֵב בֵּית הַמִּקְדָּשׁ וּבָטֵל הַתָּמִיד וְאֵין לָֽנוּ לֹא כֹהֵן בַּעֲבוֹדָתוֹ וְלֹא לֵוִי בְּדוּכָנוֹ וְלֹא יִשְׂרָאֵל בְּמַעֲמָדוֹ. וְאַתָּה אָמַֽרְתָּ וּנְשַׁלְּ֒מָה פָרִים שְׂפָתֵֽינוּ. לָכֵן יְהִי רָצוֹן מִלְּ֒פָנֶֽיךָ יְהֹוָה אֱלֹהֵֽינוּ וֵאלֹהֵי אֲבוֹתֵֽינוּ שֶׁיְּ֒הֵא שִֽׂיחַ שִׂפְתוֹתֵֽינוּ חָשׁוּב וּמְקֻבָּל וּמְרֻצֶּה לְפָנֶֽיךָ כְּאִלּוּ הִקְרַֽבְנוּ קָרְבַּן הַתָּמִיד בְּמוֹעֲדוֹ וְעָמַֽדְנוּ עַל־מַעֲמָדוֹ:
בראש חודש מוסיפים:
וּבְרָאשֵׁי חָדְשֵׁיכֶם תַּקְרִֽיבוּ עֹלָה לַיהוָֹה פָּרִים בְּנֵי־בָקָר שְׁנַֽיִם וְאַֽיִל אֶחָד כְּבָשִׂים בְּנֵי־שָׁנָה שִׁבְעָה תְּמִימִם: וּשְׁלשָׁה עֶשְׂרֹנִים סֹֽלֶת מִנְחָה בְּלוּלָה בַשֶּֽׁמֶן לַפָּר הָאֶחָד וּשְׁנֵי עֶשְׂרֹנִים סֹֽלֶת מִנְחָה בְּלוּלָה בַשֶּֽׁמֶן לָאַֽיִל הָאֶחָד: וְעִשָּׂרֹן עִשָּׂרוֹן סֹֽלֶת מִנְחָה בְּלוּלָה בַשֶּֽׁמֶן לַכֶּֽבֶשׂ הָאֶחָד עֹלָה רֵֽיחַ נִיחֹֽחַ אִשֶּׁה לַיהוָֹה: וְנִסְכֵּיהֶם חֲצִי הַהִין יִהְיֶה לַפָּר וּשְׁלִישִׁת הַהִין לָאַֽיִל וּרְבִיעִת הַהִין לַכֶּֽבֶשׂ יָֽיִן זֹאת עֹלַת חֹֽדֶשׁ בְּחָדְשׁוֹ לְחָדְשֵׁי הַשָּׁנָה: וּשְׂעִיר עִזִּים אֶחָד לְחַטָּאת לַיהוָֹה עַל עֹלַת הַתָּמִיד יֵעָשֶׂה וְנִסְכּוֹ:</t>
        </is>
      </c>
      <c r="F167" s="10" t="inlineStr"/>
      <c r="G167" s="14" t="inlineStr">
        <is>
          <t>Siddur Ashkenaz, Weekday, Shacharit, Preparatory Prayers, Korbanot, Order of the Temple Service</t>
        </is>
      </c>
      <c r="H167" s="12" t="inlineStr">
        <is>
          <t>The Metsudah siddur, 1981 — CC-BY</t>
        </is>
      </c>
      <c r="I167" s="12" t="inlineStr">
        <is>
          <t>sefaria-siddur-ashkenaz-weekday-shacharit-preparatory-prayers-korbanot-order-of-the-temple-service</t>
        </is>
      </c>
    </row>
    <row r="168" ht="409" customHeight="1">
      <c r="A168" s="7">
        <f>IF(LEN(TRIM(F168))=0,"Approved","Comment to address")</f>
        <v/>
      </c>
      <c r="B168" s="8" t="inlineStr">
        <is>
          <t>Laws of Sacrifices</t>
        </is>
      </c>
      <c r="C168" s="8" t="inlineStr">
        <is>
          <t>daily</t>
        </is>
      </c>
      <c r="D168" s="8" t="inlineStr">
        <is>
          <t>Ashkenaz</t>
        </is>
      </c>
      <c r="E168" s="9" t="inlineStr">
        <is>
          <t>קבעו לשנות אחר פרשת התמיד פרק איזהו מקומן וברייתא דרבי ישמעאל כדי שיזכה כל אדם ללמוד בכל יום מקרא משנה וגמרא. דברייתא דרבי ישמעאל הוי במקום גמרא, שהמדרש כגמרא (שו"ע או"ח נ, א).
משנה א אֵיזֶהוּ מְקוֹמָן שֶׁל זְבָחִים קָדְשֵׁי קָדָשִׁים שְׁחִיטָתָן בַּצָּפוֹן פָּר וְשָׂעִיר שֶׁל יוֹם הַכִּפּוּרִים שְׁחִיטָתָן בַּצָּפוֹן וְקִבּוּל דָּמָן בִּכְלִי שָׁרֵת בַּצָּפוֹן וְדָמָן טָעוּן הַזָּיָה עַל בֵּין הַבַּדִּים וְעַל הַפָּרֹֽכֶת וְעַל מִזְבַּח הַזָּהָב מַתָּנָה אַחַת מֵהֶן מְעַכָּֽבֶת: שְׁיָרֵי הַדָּם הָיָה שׁוֹפֵךְ עַל יְסוֹד מַעֲרָבִי שֶׁל מִזְבֵּֽחַ הַחִיצוֹן אִם לֹא נָתַן לֹא עִכֵּב:
משנה ב פָּרִים הַנִּשְׂרָפִים וּשְׂעִירִים הַנִּשְׂרָפִים שְׁחִיטָתָן בַּצָּפוֹן וְקִבּוּל דָּמָן בִּכְלִי שָׁרֵת בַּצָּפוֹן וְדָמָן טָעוּן הַזָּיָה עַל הַפָּרֹֽכֶת וְעַל מִזְבַּח הַזָּהָב מַתָּנָה אַחַת מֵהֶן מְעַכָּֽבֶת: שְׁיָרֵי הַדָּם הָיָה שׁוֹפֵךְ עַל יְסוֹד מַעֲרָבִי שֶׁל מִזְבֵּֽחַ הַחִיצוֹן אִם לֹא נָתַן לֹא עִכֵּב אֵֽלּוּ וָאֵֽלּוּ נִשְׂרָפִין בְּבֵית הַדָּֽשֶׁן:
משנה ג חַטֹּאת הַצִּבּוּר וְהַיָּחִיד אֵֽלּוּ הֵן חַטֹּאת הַצִּבּוּר שְׂעִירֵי רָאשֵׁי חֳדָשִׁים וְשֶׁל מוֹעֲדוֹת שְׁחִיטָתָן בַּצָּפוֹן וְקִבּוּל דָּמָן בִּכְלִי שָׁרֵת בַּצָּפוֹן וְדָמָן טָעוּן אַרְבַּע מַתָּנוֹת עַל אַרְבַּע קְרָנוֹת, כֵּיצַד עָלָה בַכֶּֽבֶשׁ וּפָנָה לַסּוֹבֵב וּבָא לוֹ לְקֶֽרֶן דְּרוֹמִית מִזְרָחִית, מִזְרָחִית צְפוֹנִית, צְפוֹנִית מַעֲרָבִית, מַעֲרָבִית דְּרוֹמִית, שְׁיָרֵי הַדָּם הָיָה שׁוֹפֵךְ עַל יְסוֹד דְּרוֹמִי וְנֶאֱכָלִין לִפְנִים מִן הַקְּ֒לָעִים לְזִכְרֵי כְהֻנָּה בְּכָל מַאֲכָל לְיוֹם וָלַֽיְלָה עַד חֲצוֹת:
משנה ד הָעוֹלָה קֹֽדֶשׁ קָדָשִׁים שְׁחִיטָתָהּ בַּצָּפוֹן וְקִבּוּל דָּמָהּ בִּכְלִי שָׁרֵת בַּצָּפוֹן וְדָמָהּ טָעוּן שְׁתֵּי מַתָּנוֹת שֶׁהֵן אַרְבַּע וּטְעוּנָה הֶפְשֵׁט וְנִתּֽוּחַ וְכָלִיל לָאִשִּׁים:
משנה ה זִבְחֵי שַׁלְמֵי צִבּוּר וַאֲשָׁמוֹת, אֵֽלּוּ הֵן אֲשָׁמוֹת אֲשַׁם גְּזֵלוֹת אֲשַׁם מְעִילוֹת אֲשַׁם שִׁפְחָה חֲרוּפָה אֲשַׁם נָזִיר אֲשַׁם מְצוֹרָע אָשָׁם תָּלוּי, שְׁחִיטָתָן בַּצָּפוֹן וְקִבּוּל דָּמָן בִּכְלִי שָׁרֵת בַּצָּפוֹן, וְדָמָן טָעוּן שְׁתֵּי מַתָּנוֹת שֶׁהֵן אַרְבַּע, וְנֶאֱכָלִין לִפְנִים מִן הַקְּ֒לָעִים לְזִכְרֵי כְהֻנָּה בְּכָל מַאֲכָל לְיוֹם וָלַֽיְלָה עַד חֲצוֹת:
משנה ו הַתּוֹדָה וְאֵיל נָזִיר קָדָשִׁים קַלִּים שְׁחִיטָתָן בְּכָל־מָקוֹם בָּעֲזָרָה וְדָמָן טָעוּן שְׁתֵּי מַתָּנוֹת שֶׁהֵן אַרְבַּע, וְנֶאֱכָלִין בְּכָל־הָעִיר לְכָל־אָדָם בְּכָל־מַאֲכָל לְיוֹם וָלַֽיְלָה עַד־חֲצוֹת, הַמּוּרָם מֵהֶם כַּיּוֹצֵא בָהֶם אֶלָּא שֶׁהַמּוּרָם נֶאֱכָל לַכֹּהֲנִים לִנְשֵׁיהֶם וְלִבְנֵיהֶם וּלְעַבְדֵיהֶם:
משנה ז שְׁלָמִים קָדָשִׁים קַלִּים שְׁחִיטָתָן בְּכָל מָקוֹם בָּעֲזָרָה וְדָמָן טָעוּן שְׁתֵּי מַתָּנוֹת שֶׁהֵן אַרְבַּע, וְנֶאֱכָלִין בְּכָל הָעִיר לְכָל אָדָם בְּכָל מַאֲכָל לִשְׁנֵי יָמִים וְלַֽיְלָה אֶחָד: הַמּוּרָם מֵהֶם כַּיּוֹצֵא בָהֶם אֶלָּא שֶׁהַמּוּרָם נֶאֱכָל לַכֹּהֲנִים לִנְשֵׁיהֶם וְלִבְנֵיהֶם וּלְעַבְדֵיהֶם:
משנה ח הַבְּ֒כוֹר וְהַמַּעֲשֵׂר וְהַפֶּֽסַח קָדָשִׁים קַלִּים שְׁחִיטָתָן בְּכָל מָקוֹם בָּעֲזָרָה וְדָמָן טָעוּן מַתָּנָה אֶחָת וּבִלְבָד שֶׁיִּתֵּן כְּנֶֽגֶד הַיְסוֹד, שִׁנָּה בַאֲכִילָתָן הַבְּ֒כוֹר נֶאֱכָל לַכֹּהֲנִים וְהַמַּעֲשֵׂר לְכָל אָדָם, וְנֶאֱכָלִין בְּכָל הָעִיר בְּכָל מַאֲכָל לִשְׁנֵי יָמִים וְלַֽיְלָה אֶחָד: הַפֶּֽסַח אֵינוֹ נֶאֱכָל אֶלָּא בַלַּֽיְלָה וְאֵינוֹ נֶאֱכָל אֶלָּא עַד חֲצוֹת וְאֵינוֹ נֶאֱכָל אֶלָּא לִמְנוּיָו וְאֵינוֹ נֶאֱכָל אֶלָּא צָלִי:</t>
        </is>
      </c>
      <c r="F168" s="10" t="inlineStr"/>
      <c r="G168" s="11" t="inlineStr">
        <is>
          <t>Siddur Ashkenaz, Weekday, Shacharit, Preparatory Prayers, Korbanot, Laws of Sacrifices</t>
        </is>
      </c>
      <c r="H168" s="8" t="inlineStr">
        <is>
          <t>The Metsudah siddur, 1981 — CC-BY</t>
        </is>
      </c>
      <c r="I168" s="8" t="inlineStr">
        <is>
          <t>sefaria-siddur-ashkenaz-weekday-shacharit-preparatory-prayers-korbanot-laws-of-sacrifices</t>
        </is>
      </c>
    </row>
    <row r="169" ht="386" customHeight="1">
      <c r="A169" s="7">
        <f>IF(LEN(TRIM(F169))=0,"Approved","Comment to address")</f>
        <v/>
      </c>
      <c r="B169" s="12" t="inlineStr">
        <is>
          <t>Baraita of Rabbi Yishmael</t>
        </is>
      </c>
      <c r="C169" s="12" t="inlineStr">
        <is>
          <t>daily</t>
        </is>
      </c>
      <c r="D169" s="12" t="inlineStr">
        <is>
          <t>Ashkenaz</t>
        </is>
      </c>
      <c r="E169" s="13" t="inlineStr">
        <is>
          <t>רַבִּי יִשְׁמָעֵאל אוֹמֵר בִּשְׁלֹשׁ עֶשְׂרֵה מִדּוֹת הַתּוֹרָה נִדְרָֽשֶׁת: מִקַּל וָחֹֽמֶר.
וּמִגְּ֒זֵרָה שָׁוָה.
מִבִּנְיַן אָב מִכָּתוּב אֶחָד, וּמִבִּנְיַן אָב מִשְּׁ֒נֵי כְתוּבִים.
מִכְּ֒לָל וּפְרָט.
וּמִפְּ֒רָט וּכְלָל.
כְּלָל וּפְרָט וּכְלָל אִי אַתָּה דָן אֶלָּא כְּעֵין הַפְּ֒רָט.
מִכְּ֒לָל שֶׁהוּא צָרִיךְ לִפְרָט וּמִפְּ֒רָט שֶׁהוּא צָרִיךְ לִכְלָל.
כָּל־דָּבָר שֶׁהָיָה בִּכְלָל וְיָצָא מִן הַכְּ֒לָל לְלַמֵּד לֹא לְלַמֵּד עַל עַצְמוֹ יָצָא אֶלָּא לְלַמֵּד עַל הַכְּ֒לָל כֻּלּוֹ יָצָא.
כָּל־דָּבָר שֶׁהָיָה בִּכְלָל וְיָצָא לִטְעֹן טֹֽעַן אֶחָד שֶׁהוּא כְעִנְיָנוֹ יָצָא לְהָקֵל וְלֹא לְהַחֲמִיר.
כָּל־דָּבָר שֶׁהָיָה בִּכְלָל וְיָצָא לִטְעֹן טֹֽעַן אַחֵר שֶׁלֹּא כְעִנְיָנוֹ יָצָא לְהָקֵל וּלְהַחֲמִיר.
כָּל־דָּבָר שֶׁהָיָה בִּכְלָל וְיָצָא לִדּוֹן בַּדָּבָר הֶחָדָשׁ אִי אַתָּה יָכוֹל לְהַחֲזִירוֹ לִכְלָלוֹ עַד שֶׁיַּחֲזִירֶֽנּוּ הַכָּתוּב לִכְלָלוֹ בְּפֵרוּשׁ.
דָּבָר הַלָּמֵד מֵעִנְיָנוֹ וְדָבָר הַלָּמֵד מִסּוֹפוֹ.
וְכֵן שְׁנֵי כְתוּבִים הַמַּכְחִישִׁים זֶה אֶת־זֶה עַד שֶׁיָּבֹא הַכָּתוּב הַשְּׁ֒לִישִׁי וְיַכְרִֽיעַ בֵּינֵיהֶם:
יְהִי רָצוֹן מִלְּ֒פָנֶֽיךָ יְהֹוָה אֱלֹהֵֽינוּ וֵאלֹהֵי אֲבוֹתֵֽינוּ שֶׁיִּבָּנֶה בֵּית הַמִּקְדָּשׁ בִּמְהֵרָה בְיָמֵֽינוּ וְתֵן חֶלְקֵֽנוּ בְּתוֹרָתֶֽךָ: וְשָׁם נַעֲבָדְךָ בְּיִרְאָה כִּימֵי עוֹלָם וּכְשָׁנִים קַדְמוֹנִיּוֹת:</t>
        </is>
      </c>
      <c r="F169" s="10" t="inlineStr"/>
      <c r="G169" s="14" t="inlineStr">
        <is>
          <t>Siddur Ashkenaz, Weekday, Shacharit, Preparatory Prayers, Korbanot, Baraita of Rabbi Yishmael</t>
        </is>
      </c>
      <c r="H169" s="12" t="inlineStr">
        <is>
          <t>The Metsudah siddur, 1981 — CC-BY</t>
        </is>
      </c>
      <c r="I169" s="12" t="inlineStr">
        <is>
          <t>sefaria-siddur-ashkenaz-weekday-shacharit-preparatory-prayers-korbanot-baraita-of-rabbi-yishmael</t>
        </is>
      </c>
    </row>
    <row r="170" ht="403" customHeight="1">
      <c r="A170" s="7">
        <f>IF(LEN(TRIM(F170))=0,"Approved","Comment to address")</f>
        <v/>
      </c>
      <c r="B170" s="8" t="inlineStr">
        <is>
          <t>Kaddish DeRabbanan</t>
        </is>
      </c>
      <c r="C170" s="8" t="inlineStr">
        <is>
          <t>daily</t>
        </is>
      </c>
      <c r="D170" s="8" t="inlineStr">
        <is>
          <t>Ashkenaz</t>
        </is>
      </c>
      <c r="E170" s="9" t="inlineStr">
        <is>
          <t>מה שאנו אומרין הקדיש בלשון תרגום, יש אומרים מפני המלאכים שלא יתקנאו בנו שאנו משבחים שבח נאה כזה ואם יבינו המלאכים זה יקטרגו עלינו, על כן אומרים אותו בלשון שלא יבינו, שאינן מכירין ארמית. ויש מפרשים הטעם לפי שהיו רגילין לומר אותו אחר הדרשה והיו שם עמי הארץ שאינן מכירין אלא ארמית שהוא לשונם לכן נהגו לאומרו בלשון שהכל מבינין בו (ע"פ טור או"ח נו)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מִן־שְׁמַיָּֽא וְחַיִּים עָלֵֽינוּ וְעַל־כָּל־יִשְׂרָאֵל וְאִמְרוּ אָמֵן:
עוֹשֶׂה שָׁלוֹם (בעשי"ת הַשָּׁלוֹם) בִּמְרוֹמָיו הוּא יַעֲשֶׂה שָׁלוֹם עָלֵֽינוּ וְעַל כָּל יִשְׂרָאֵל וְאִמְרוּ אָמֵן:</t>
        </is>
      </c>
      <c r="F170" s="10" t="inlineStr"/>
      <c r="G170" s="11" t="inlineStr">
        <is>
          <t>Siddur Ashkenaz, Weekday, Shacharit, Preparatory Prayers, Korbanot, Kaddish DeRabbanan</t>
        </is>
      </c>
      <c r="H170" s="8" t="inlineStr">
        <is>
          <t>The Metsudah siddur, 1981 — CC-BY</t>
        </is>
      </c>
      <c r="I170" s="8" t="inlineStr">
        <is>
          <t>sefaria-siddur-ashkenaz-weekday-shacharit-preparatory-prayers-korbanot-kaddish-derabbanan</t>
        </is>
      </c>
    </row>
    <row r="171" ht="250" customHeight="1">
      <c r="A171" s="7">
        <f>IF(LEN(TRIM(F171))=0,"Approved","Comment to address")</f>
        <v/>
      </c>
      <c r="B171" s="12" t="inlineStr">
        <is>
          <t>Introductory Psalm</t>
        </is>
      </c>
      <c r="C171" s="12" t="inlineStr">
        <is>
          <t>daily</t>
        </is>
      </c>
      <c r="D171" s="12" t="inlineStr">
        <is>
          <t>Ashkenaz</t>
        </is>
      </c>
      <c r="E171" s="13" t="inlineStr">
        <is>
          <t>מזמור זה אמרו שלמה בשעה שהכניס הארון לבית קודש הקודשים, ולא נענה עד שהזכיר זכות דוד. ולפי שכל פסוקי דזמרה הם פסוקי דוד המלך, לפיכך הקדימו מקודם מזמור זה שבו נגלה צדקתו (ערוה"ש נ, ד)
מִזְמוֹר שִׁיר־חֲנֻכַּת הַבַּֽיִת לְדָוִד: אֲרוֹמִמְךָ יְהֹוָה כִּי דִלִּיתָֽנִי וְלֹא־שִׂמַּֽחְתָּ אֹיְ֒בַי לִי: יְהֹוָה אֱלֹהָי שִׁוַּעְתִּי אֵלֶֽיךָ וַתִּרְפָּאֵֽנִי: יְהֹוָה הֶעֱלִֽיתָ מִן־שְׁאוֹל נַפְשִׁי חִיִּיתַֽנִי מִיָּרְ֒דִי־בוֹר: זַמְּ֒רוּ לַיהוָֹה חֲסִידָיו וְהוֹדוּ לְזֵֽכֶר קָדְשׁוֹ: כִּי רֶֽגַע בְּאַפּוֹ חַיִּים בִּרְצוֹנוֹ בָּעֶֽרֶב יָלִין בֶּֽכִי וְלַבֹּֽקֶר רִנָּה: וַאֲנִי אָמַֽרְתִּי בְשַׁלְוִי בַּל־אֶמּוֹט לְעוֹלָם: יְהֹוָה בִּרְצוֹנְ֒ךָ הֶעֱמַֽדְתָּה לְהַרְרִי עֹז הִסְתַּֽרְתָּ פָנֶֽיךָ הָיִֽיתִי נִבְהָל: אֵלֶֽיךָ יְהֹוָה אֶקְרָא וְאֶל־אֲדֹנָי אֶתְחַנָּן: מַה־בֶּֽצַע בְּדָמִי בְּרִדְתִּי אֶל שָֽׁחַת הֲיוֹדְ֒ךָ עָפָר הֲיַגִּיד אֲמִתֶּֽךָ: שְׁמַע יְהֹוָה וְחָנֵּֽנִי יְהֹוָה הֱיֵה־עֹזֵר לִי: הָפַֽכְתָּ מִסְפְּדִי לְמָחוֹל לִי פִּתַּחְתָּ שַׂקִּי וַתְּ֒אַזְּ֒רֵֽנִי שִׂמְחָה: לְמַֽעַן יְזַמֶּרְךָ כָבוֹד וְלֹא יִדֹּם יְהֹוָה אֱלֹהַי לְעוֹלָם אוֹדֶֽךָּ:</t>
        </is>
      </c>
      <c r="F171" s="10" t="inlineStr"/>
      <c r="G171" s="14" t="inlineStr">
        <is>
          <t>Siddur Ashkenaz, Weekday, Shacharit, Pesukei Dezimra, Introductory Psalm</t>
        </is>
      </c>
      <c r="H171" s="12" t="inlineStr">
        <is>
          <t>The Metsudah siddur, 1981 — CC-BY</t>
        </is>
      </c>
      <c r="I171" s="12" t="inlineStr">
        <is>
          <t>sefaria-siddur-ashkenaz-weekday-shacharit-pesukei-dezimra-introductory-psalm</t>
        </is>
      </c>
    </row>
    <row r="172" ht="233" customHeight="1">
      <c r="A172" s="7">
        <f>IF(LEN(TRIM(F172))=0,"Approved","Comment to address")</f>
        <v/>
      </c>
      <c r="B172" s="8" t="inlineStr">
        <is>
          <t>Mourner's Kaddish</t>
        </is>
      </c>
      <c r="C172" s="8" t="inlineStr">
        <is>
          <t>daily</t>
        </is>
      </c>
      <c r="D172" s="8" t="inlineStr">
        <is>
          <t>Ashkenaz</t>
        </is>
      </c>
      <c r="E172"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172" s="10" t="inlineStr"/>
      <c r="G172" s="11" t="inlineStr">
        <is>
          <t>Siddur Ashkenaz, Weekday, Shacharit, Pesukei Dezimra, Mourner's Kaddish</t>
        </is>
      </c>
      <c r="H172" s="8" t="inlineStr">
        <is>
          <t>The Metsudah siddur, 1981 — CC-BY</t>
        </is>
      </c>
      <c r="I172" s="8" t="inlineStr">
        <is>
          <t>sefaria-siddur-ashkenaz-weekday-shacharit-pesukei-dezimra-mourner-s-kaddish</t>
        </is>
      </c>
    </row>
    <row r="173" ht="216" customHeight="1">
      <c r="A173" s="7">
        <f>IF(LEN(TRIM(F173))=0,"Approved","Comment to address")</f>
        <v/>
      </c>
      <c r="B173" s="12" t="inlineStr">
        <is>
          <t>Barukh She'amar</t>
        </is>
      </c>
      <c r="C173" s="12" t="inlineStr">
        <is>
          <t>daily</t>
        </is>
      </c>
      <c r="D173" s="12" t="inlineStr">
        <is>
          <t>Ashkenaz</t>
        </is>
      </c>
      <c r="E173" s="13" t="inlineStr">
        <is>
          <t>ברוך שאמר צריך לאומרו בניגון ובנעימה כי הוא שיר נאה ונחמד. וכתב בספר היכלות שיש בו פ"ז תיבות וסי' ראשו כתם פז (טור או"ח נא)
בָּרוּךְ שֶׁאָמַר וְהָיָה הָעוֹלָם. בָּרוּךְ הוּא. בָּרוּךְ עוֹשֶׂה בְרֵאשִׁית. בָּרוּךְ אוֹמֵר וְעוֹשֶׂה. בָּרוּךְ גּוֹזֵר וּמְקַיֵּם. בָּרוּךְ מְרַחֵם עַל־הָאָֽרֶץ. בָּרוּךְ מְרַחֵם עַל־הַבְּ֒רִיּוֹת. בָּרוּךְ מְשַׁלֵּם שָׂכָר טוֹב לִירֵאָיו. בָּרוּךְ חַי לָעַד וְקַיָּם לָנֶֽצַח. בָּרוּךְ פּוֹדֶה וּמַצִּיל. בָּרוּךְ שְׁמוֹ. בָּרוּךְ אַתָּה יְהֹוָה אֱלֹהֵֽינוּ מֶֽלֶךְ הָעוֹלָם הָאֵל הָאָב הָרַחֲמָן הַמְ֒הֻלָּל בְּפִי עַמּוֹ מְשֻׁבָּח וּמְפֹאָר בִּלְשׁוֹן חֲסִידָיו וַעֲבָדָיו וּבְשִׁירֵי דָוִד עַבְדֶּֽךָ. נְהַלֶּלְךָ יְהֹוָה אֱלֹהֵֽינוּ בִּשְׁבָחוֹת וּבִזְמִירוֹת נְגַדֶּלְךָ וּנְשַׁבֵּחֲךָ וּנְפָאֶרְךָ וְנַזְכִּיר שִׁמְךָ וְנַמְלִיכְ֒ךָ מַלְכֵּֽנוּ אֱלֹהֵֽינוּ. יָחִיד חֵי הָעוֹלָמִים. מֶֽלֶךְ מְשֻׁבָּח וּמְפֹאָר עֲדֵי־עַד שְׁמוֹ הַגָּדוֹל. בָּרוּךְ אַתָּה יְהֹוָה מֶֽלֶךְ מְהֻלָּל בַּתִּשְׁבָּחוֹת:</t>
        </is>
      </c>
      <c r="F173" s="10" t="inlineStr"/>
      <c r="G173" s="14" t="inlineStr">
        <is>
          <t>Siddur Ashkenaz, Weekday, Shacharit, Pesukei Dezimra, Barukh She'amar</t>
        </is>
      </c>
      <c r="H173" s="12" t="inlineStr">
        <is>
          <t>The Metsudah siddur, 1981 — CC-BY</t>
        </is>
      </c>
      <c r="I173" s="12" t="inlineStr">
        <is>
          <t>sefaria-siddur-ashkenaz-weekday-shacharit-pesukei-dezimra-barukh-she-amar</t>
        </is>
      </c>
    </row>
    <row r="174" ht="409" customHeight="1">
      <c r="A174" s="7">
        <f>IF(LEN(TRIM(F174))=0,"Approved","Comment to address")</f>
        <v/>
      </c>
      <c r="B174" s="8" t="inlineStr">
        <is>
          <t>Hodu</t>
        </is>
      </c>
      <c r="C174" s="8" t="inlineStr">
        <is>
          <t>daily</t>
        </is>
      </c>
      <c r="D174" s="8" t="inlineStr">
        <is>
          <t>Ashkenaz</t>
        </is>
      </c>
      <c r="E174" s="9" t="inlineStr">
        <is>
          <t>הוֹדוּ לַיהוָֹה קִרְאוּ בִשְׁמוֹ הוֹדִֽיעוּ בָעַמִּים עֲלִילֹתָיו: שִֽׁירוּ לוֹ זַמְּ֒רוּ־לוֹ שִֽׂיחוּ בְּכָל־נִפְלְ֒אוֹתָיו: הִתְהַלְּ֒לוּ בְּשֵׁם קָדְשׁוֹ יִשְׂמַח לֵב מְבַקְשֵׁי יְהֹוָה: דִּרְשׁוּ יְהֹוָה וְעֻזּוֹ בַּקְּ֒שׁוּ פָנָיו תָּמִיד: זִכְרוּ נִפְלְ֒אֹתָיו אֲשֶׁר עָשָׂה מֹפְ֒תָיו וּמִשְׁפְּ֒טֵי־פִֽיהוּ: זֶֽרַע יִשְׂרָאֵל עַבְדּוֹ בְּנֵי יַעֲקֹב בְּחִירָיו: הוּא יְהֹוָה אֱלֹהֵֽינוּ בְּכָל־הָאָֽרֶץ מִשְׁפָּטָיו: זִכְרוּ לְעוֹלָם בְּרִיתוֹ דָּבָר צִוָּה לְאֶֽלֶף דּוֹר: אֲשֶׁר כָּרַת אֶת־אַבְרָהָם וּשְׁבוּעָתוֹ לְיִצְחָק: וַיַּעֲמִידֶֽהָ לְיַעֲקֹב לְחֹק לְיִשְׂרָאֵל בְּרִית עוֹלָם: לֵאמֹר לְךָ אֶתֵּן אֶֽרֶץ־כְּנָעַן חֶֽבֶל נַחֲלַתְכֶם: בִּהְיוֹתְ֒כֶם מְתֵי מִסְפָּר כִּמְעַט וְגָרִים בָּהּ: וַיִּתְהַלְּ֒כוּ מִגּוֹי אֶל־גּוֹי וּמִמַּמְלָכָה אֶל־עַם אַחֵר: לֹא־הִנִּֽיחַ לְאִישׁ לְעָשְׁקָם וַיּֽוֹכַח עֲלֵיהֶם מְלָכִים: אַל־תִּגְּ֒עוּ בִּמְשִׁיחָי וּבִנְבִיאַי אַל־תָּרֵֽעוּ: שִֽׁירוּ לַיהוָֹה כָּל־הָאָֽרֶץ בַּשְּׂ֒רוּ מִיּוֹם־אֶל־יוֹם יְשׁוּעָתוֹ: סַפְּ֒רוּ בַגּוֹיִם אֶת־כְּבוֹדוֹ בְּכָל־הָעַמִּים נִפְלְאֹתָיו: כִּי גָדוֹל יְהֹוָה וּמְהֻלָּל מְאֹד וְנוֹרָא הוּא עַל־כָּל־אֱלֹהִים: כִּי כָּל־אֱלֹהֵי הָעַמִּים אֱלִילִים וַיהוָֹה שָׁמַֽיִם עָשָׂה:
הוֹד וְהָדָר לְפָנָיו עֹז וְחֶדְוָה בִּמְקֹמוֹ: הָבוּ לַיהוָֹה מִשְׁפְּ֒חוֹת עַמִּים הָבוּ לַיהוָֹה כָּבוֹד וָעֹז: הָבוּ לַיהוָֹה כְּבוֹד שְׁמוֹ שְׂאוּ מִנְחָה וּבֹֽאוּ לְפָנָיו הִשְׁתַּחֲווּ לַיהוָֹה בְּהַדְרַת־קֹֽדֶשׁ: חִֽילוּ מִלְּ֒פָנָיו כָּל־הָאָֽרֶץ אַף־תִּכּוֹן תֵּבֵל בַּל־תִּמּוֹט: יִשְׂמְחוּ הַשָּׁמַֽיִם וְתָגֵל הָאָֽרֶץ וְיֹאמְ֒רוּ בַגּוֹיִם יְהֹוָה מָלָךְ: יִרְעַם הַיָּם וּמְלוֹאוֹ יַעֲלֹץ הַשָּׂדֶה וְכָל־אֲשֶׁר־בּוֹ: אָז יְרַנְּ֒נוּ עֲצֵי הַיָּעַר מִלִּפְנֵי יְהֹוָה כִּי־בָא לִשְׁפּוֹט אֶת־הָאָֽרֶץ: הוֹדוּ לַיהוָֹה כִּי טוֹב כִּי לְעוֹלָם חַסְדּוֹ: וְאִמְרוּ הוֹשִׁיעֵֽנוּ אֱלֹהֵי יִשְׁעֵֽנוּ וְקַבְּ֒צֵֽנוּ וְהַצִּילֵֽנוּ מִן־הַגּוֹיִם לְהוֹדוֹת לְשֵׁם קָדְשֶֽׁךָ לְהִשְׁתַּבֵּֽחַ בִּתְהִלָּתֶֽךָ: בָּרוּךְ יְהֹוָה אֱלֹהֵי יִשְׂרָאֵל מִן־הָעוֹלָם וְעַד הָעֹלָם וַיֹּאמְ֒רוּ כָל־הָעָם אָמֵן וְהַלֵּל לַיהוָֹה: רוֹמְ֒מוּ יְהֹוָה אֱלֹהֵֽינוּ וְהִשְׁתַּחֲווּ לַהֲדֹם רַגְלָיו קָדוֹשׁ הוּא: רוֹמְ֒מוּ יְהֹוָה אֱלֹהֵֽינוּ וְהִשְׁתַּחֲווּ לְהַר קָדְשׁוֹ כִּי קָדוֹשׁ יְהֹוָה אֱלֹהֵֽינוּ:
וְהוּא רַחוּם יְכַפֵּר עָוֹן וְלֹא־יַשְׁחִית וְהִרְבָּה לְהָשִׁיב אַפּוֹ וְלֹא־יָעִיר כָּל־חֲמָתוֹ: אַתָּה יְהֹוָה לֹא־תִכְלָא רַחֲמֶֽיךָ מִמֶּֽנִּי חַסְדְּ֒ךָ וַאֲמִתְּ֒ךָ תָּמִיד יִצְּ֒רֽוּנִי: זְכֹר רַחֲמֶֽיךָ יְהֹוָה וַחֲסָדֶֽיךָ כִּי מֵעוֹלָם הֵֽמָּה: תְּנוּ עֹז לֵאלֹהִים עַל־יִשְׂרָאֵל גַּאֲוָתוֹ וְעֻזּוֹ בַּשְּׁ֒חָקִים: נוֹרָא אֱלֹהִים מִמִּקְדָּשֶֽׁיךָ אֵל יִשְׂרָאֵל הוּא נֹתֵן עֹז וְתַעֲצֻמוֹת לָעָם בָּרוּךְ אֱלֹהִים: אֵל־נְקָמוֹת יְהֹוָה אֵל נְקָמוֹת הוֹפִֽיעַ: הִנָּשֵׂא שֹׁפֵט הָאָֽרֶץ הָשֵׁב גְּמוּל עַל־גֵּאִים: לַיהוָֹה הַיְשׁוּעָה עַל־עַמְּ֒ךָ בִרְכָתֶֽךָ סֶּֽלָה: יְהֹוָה צְבָאוֹת עִמָּנוּ מִשְׂגָּב לָֽנוּ אֱלֹהֵי יַעֲקֹב סֶֽלָה: יְהֹוָה צְבָאוֹת אַשְׁרֵי אָדָם בֹּטֵֽחַ בָּךְ: יְהֹוָה הוֹשִֽׁיעָה הַמֶּֽלֶךְ יַעֲנֵֽנוּ בְיוֹם־קָרְאֵֽנוּ:
הוֹשִֽׁיעָה אֶת־עַמֶּֽךָ וּבָרֵךְ אֶת־נַחֲלָתֶֽךָ וּרְעֵם וְנַשְּׂ֒אֵם עַד־הָעוֹלָם: נַפְשֵֽׁנוּ חִכְּ֒תָה לַיהוָֹה עֶזְרֵֽנוּ וּמָגִנֵּֽנוּ הוּא: כִּי־בוֹ יִשְׂמַח לִבֵּֽנוּ כִּי בְשֵׁם קָדְשׁוֹ בָטָֽחְנוּ: יְהִי־חַסְדְּ֒ךָ יְהֹוָה עָלֵֽינוּ כַּאֲשֶׁר יִחַֽלְנוּ לָךְ: הַרְאֵֽנוּ יְהֹוָה חַסְדֶּֽךָ וְיֶשְׁעֲךָ תִּֽתֶּן־לָֽנוּ: קֽוּמָה עֶזְרָֽתָה לָּנוּ וּפְדֵֽנוּ לְמַֽעַן חַסְדֶּֽךָ: אָנֹכִי יְהֹוָה אֱלֹהֶֽיךָ הַמַּעַלְךָ מֵאֶֽרֶץ מִצְרָֽיִם הַרְחֶב־פִּֽיךָ וַאֲמַלְאֵֽהוּ: אַשְׁרֵי הָעָם שֶׁכָּֽכָה לּוֹ אַשְׁרֵי הָעָם שֶׁיְהֹוָה אֱלֹהָיו: וַאֲנִי בְּחַסְדְּ֒ךָ בָטַֽחְתִּי יָגֵל לִבִּי בִּישׁוּעָתֶֽךָ אָשִֽׁירָה לַיהוָֹה כִּי גָמַל עָלָי:</t>
        </is>
      </c>
      <c r="F174" s="10" t="inlineStr"/>
      <c r="G174" s="11" t="inlineStr">
        <is>
          <t>Siddur Ashkenaz, Weekday, Shacharit, Pesukei Dezimra, Hodu</t>
        </is>
      </c>
      <c r="H174" s="8" t="inlineStr">
        <is>
          <t>The Metsudah siddur, 1981 — CC-BY</t>
        </is>
      </c>
      <c r="I174" s="8" t="inlineStr">
        <is>
          <t>sefaria-siddur-ashkenaz-weekday-shacharit-pesukei-dezimra-hodu</t>
        </is>
      </c>
    </row>
    <row r="175" ht="148" customHeight="1">
      <c r="A175" s="7">
        <f>IF(LEN(TRIM(F175))=0,"Approved","Comment to address")</f>
        <v/>
      </c>
      <c r="B175" s="12" t="inlineStr">
        <is>
          <t>Mizmor Letoda</t>
        </is>
      </c>
      <c r="C175" s="12" t="inlineStr">
        <is>
          <t>daily</t>
        </is>
      </c>
      <c r="D175" s="12" t="inlineStr">
        <is>
          <t>Ashkenaz</t>
        </is>
      </c>
      <c r="E175" s="13" t="inlineStr">
        <is>
          <t>מזמור לתודה יש לאומרו בנגינה שכל השירות עתידות ליבטל חוץ ממזמור לתודה (ראה ויק"ר ט,ז). ואין אומרים מזמור לתודה בשבת ויו"ט, או בימי פסח שאין תודה קריבה בהם משום חמץ, ולא בערב פסח.
מִזְמוֹר לְתוֹדָה הָרִֽיעוּ לַיהוָֹה כָּל־הָאָֽרֶץ: עִבְדוּ אֶת יְהֹוָה בְּשִׂמְחָה בֹּֽאוּ לְפָנָיו בִּרְנָנָה: דְּעוּ כִּי־יְהֹוָה הוּא אֱלֹהִים הוּא עָשָֽׂנוּ וְלוֹ (וְלֹא) אֲנַֽחְנוּ עַמּוֹ וְצֹאן מַרְעִיתוֹ: בֹּֽאוּ שְׁעָרָיו בְּתוֹדָה חֲצֵרֹתָיו בִּתְהִלָּה הֽוֹדוּ לוֹ בָּרְ֒כוּ שְׁמוֹ: כִּי־טוֹב יְהֹוָה לְעוֹלָם חַסְדּוֹ וְעַד־דֹּר וָדֹר אֱמוּנָתוֹ:</t>
        </is>
      </c>
      <c r="F175" s="10" t="inlineStr"/>
      <c r="G175" s="14" t="inlineStr">
        <is>
          <t>Siddur Ashkenaz, Weekday, Shacharit, Pesukei Dezimra, Mizmor Letoda</t>
        </is>
      </c>
      <c r="H175" s="12" t="inlineStr">
        <is>
          <t>The Metsudah siddur, 1981 — CC-BY</t>
        </is>
      </c>
      <c r="I175" s="12" t="inlineStr">
        <is>
          <t>sefaria-siddur-ashkenaz-weekday-shacharit-pesukei-dezimra-mizmor-letoda</t>
        </is>
      </c>
    </row>
    <row r="176" ht="284" customHeight="1">
      <c r="A176" s="7">
        <f>IF(LEN(TRIM(F176))=0,"Approved","Comment to address")</f>
        <v/>
      </c>
      <c r="B176" s="8" t="inlineStr">
        <is>
          <t>Yehi Chevod</t>
        </is>
      </c>
      <c r="C176" s="8" t="inlineStr">
        <is>
          <t>daily</t>
        </is>
      </c>
      <c r="D176" s="8" t="inlineStr">
        <is>
          <t>Ashkenaz</t>
        </is>
      </c>
      <c r="E176" s="9" t="inlineStr">
        <is>
          <t>שמונה עשר פסוקי יהי כבוד כנגד שמונה עשרה ברכות דשמונה עשרה. ולפיכך הכניסום בתוך פסוקי דזמרה. (ערוך השולחן, אורח חיים נ, ד)
יְהִי כְבוֹד יְהֹוָה לְעוֹלָם יִשְׂמַח יְהֹוָה בְּמַעֲשָׂיו: יְהִי שֵׁם יְהֹוָה מְבֹרָךְ מֵעַתָּה וְעַד־עוֹלָם: מִמִּזְרַח־שֶֽׁמֶשׁ עַד־מְבוֹאוֹ מְהֻלָּל שֵׁם יְהֹוָה: רָם עַל־כָּל־גּוֹיִם יְהֹוָה עַל הַשָּׁמַֽיִם כְּבוֹדוֹ: יְהֹוָה שִׁמְךָ לְעוֹלָם יְהֹוָה זִכְרְ֒ךָ לְדֹר־וָדֹר: יְהֹוָה בַּשָּׁמַֽיִם הֵכִין כִּסְאוֹ וּמַלְכוּתוֹ בַּכֹּל מָשָֽׁלָה: יִשְׂמְחוּ הַשָּׁמַֽיִם וְתָגֵל הָאָֽרֶץ וְיֹאמְ֒רוּ בַגּוֹיִם יְהֹוָה מָלָךְ: יְהֹוָה מֶֽלֶךְ יְהֹוָה מָלָךְ יְהֹוָה יִמְלֹךְ לְעֹלָם וָעֶד: יְהֹוָה מֶֽלֶךְ עוֹלָם וָעֶד אָבְ֒דוּ גוֹיִם מֵאַרְצוֹ: יְהֹוָה הֵפִיר עֲצַת־גּוֹיִם הֵנִיא מַחְשְׁבוֹת עַמִּים: רַבּוֹת מַחֲשָׁבוֹת בְּלֶב־אִישׁ וַעֲצַת יְהֹוָה הִיא תָקוּם: עֲצַת יְהֹוָה לְעוֹלָם תַּעֲמֹד מַחְשְׁבוֹת לִבּוֹ לְדֹר וָדֹר: כִּי הוּא אָמַר וַיֶּֽהִי הוּא־צִוָּה וַיַּעֲמֹד: כִּי בָחַר יְהֹוָה בְּצִיּוֹן אִוָּהּ לְמוֹשָׁב לוֹ: כִּי־יַעֲקֹב בָּחַר לוֹ יָהּ יִשְׂרָאֵל לִסְגֻלָּתוֹ: כִּי לֹא יִטּשׁ יְהֹוָה עַמּוֹ וְנַחֲלָתוֹ לֹא יַעֲזֹב: וְהוּא רַחוּם יְכַפֵּר עָוֹן וְלֹא־יַשְׁחִית וְהִרְבָּה לְהָשִׁיב אַפּוֹ וְלֹא־יָעִיר כָּל־חֲמָתוֹ: יְהֹוָה הוֹשִׁיעָה הַמֶּֽלֶךְ יַעֲנֵֽנוּ בְיוֹם־קָרְאֵֽנוּ:</t>
        </is>
      </c>
      <c r="F176" s="10" t="inlineStr"/>
      <c r="G176" s="11" t="inlineStr">
        <is>
          <t>Siddur Ashkenaz, Weekday, Shacharit, Pesukei Dezimra, Yehi Chevod</t>
        </is>
      </c>
      <c r="H176" s="8" t="inlineStr">
        <is>
          <t>The Metsudah siddur, 1981 — CC-BY</t>
        </is>
      </c>
      <c r="I176" s="8" t="inlineStr">
        <is>
          <t>sefaria-siddur-ashkenaz-weekday-shacharit-pesukei-dezimra-yehi-chevod</t>
        </is>
      </c>
    </row>
    <row r="177" ht="409" customHeight="1">
      <c r="A177" s="7">
        <f>IF(LEN(TRIM(F177))=0,"Approved","Comment to address")</f>
        <v/>
      </c>
      <c r="B177" s="12" t="inlineStr">
        <is>
          <t>Ashrei</t>
        </is>
      </c>
      <c r="C177" s="12" t="inlineStr">
        <is>
          <t>daily</t>
        </is>
      </c>
      <c r="D177" s="12" t="inlineStr">
        <is>
          <t>Ashkenaz</t>
        </is>
      </c>
      <c r="E177" s="13" t="inlineStr">
        <is>
          <t>צריך לכוין בתהלה לדוד דא"ר אלעזר כל האומר תהלה לדוד בכל יום ג"פ מובטח לו שהוא בן העולם הבא. ויותר יכוין בפסוק פותח את ידך, שעיקר מה שקבעוהו לומר בכל יום הוא בשביל אותו פסוק, שמזכיר בו שבחו של הקב"ה שמשגיח על בריותיו ומפרנסן. ונהגו לומר קודם לכן אשרי יושבי ביתך משום דילפינן מיניה שצריך אדם לישב שעה אחת קודם שיתפלל. ואחריו נהגו לומר ואנחנו נברך יה (טור, אורח חיים נ"א)
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t>
        </is>
      </c>
      <c r="F177" s="10" t="inlineStr"/>
      <c r="G177" s="14" t="inlineStr">
        <is>
          <t>Siddur Ashkenaz, Weekday, Shacharit, Pesukei Dezimra, Ashrei</t>
        </is>
      </c>
      <c r="H177" s="12" t="inlineStr">
        <is>
          <t>The Metsudah siddur, 1981 — CC-BY</t>
        </is>
      </c>
      <c r="I177" s="12" t="inlineStr">
        <is>
          <t>sefaria-siddur-ashkenaz-weekday-shacharit-pesukei-dezimra-ashrei</t>
        </is>
      </c>
    </row>
    <row r="178" ht="165" customHeight="1">
      <c r="A178" s="7">
        <f>IF(LEN(TRIM(F178))=0,"Approved","Comment to address")</f>
        <v/>
      </c>
      <c r="B178" s="8" t="inlineStr">
        <is>
          <t>Psalm 146</t>
        </is>
      </c>
      <c r="C178" s="8" t="inlineStr">
        <is>
          <t>daily</t>
        </is>
      </c>
      <c r="D178" s="8" t="inlineStr">
        <is>
          <t>Ashkenaz</t>
        </is>
      </c>
      <c r="E178" s="9" t="inlineStr">
        <is>
          <t>הַלְ֒לוּיָהּ הַלְ֒לִי נַפְשִׁי אֶת־יְהֹוָה: אֲהַלְלָה יְהֹוָה בְּחַיָּי אֲזַמְּ֒רָה לֵאלֹהַי בְּעוֹדִי: אַל־תִּבְטְחוּ בִנְדִיבִים בְּבֶן־אָדָם שֶׁאֵין לוֹ תְשׁוּעָה: תֵּצֵא רוּחוֹ יָשֻׁב לְאַדְמָתוֹ בַּיּוֹם הַהוּא אָבְ֒דוּ עֶשְׁתֹּנֹתָיו: אַשְׁרֵי שֶׁאֵל יַעֲקֹב בְּעֶזְרוֹ, שִׂבְרוֹ עַל־יְהֹוָה אֱלֹהָיו: עֹשֶׂה שָׁמַֽיִם וָאָֽרֶץ אֶת־הַיָּם וְאֶת־כָּל־אֲשֶׁר־בָּם, הַשֹּׁמֵר אֱמֶת לְעוֹלָם: עֹשֶׂה מִשְׁפָּט לַעֲשׁוּקִים נֹתֵן לֶֽחֶם לָרְ֒עֵבִים יְהֹוָה מַתִּיר אֲסוּרִים: יְהֹוָה פֹּקֵֽחַ עִוְרִים יְהֹוָה זֹקֵף כְּפוּפִים יְהֹוָה אֹהֵב צַדִּיקִים: יְהֹוָה שֹׁמֵר אֶת־גֵּרִים יָתוֹם וְאַלְמָנָה יְעוֹדֵד וְדֶֽרֶךְ רְשָׁעִים יְעַוֵּת: יִמְלֹךְ יְהֹוָה לְעוֹלָם אֱלֹהַֽיִךְ צִיּוֹן לְדֹר וָדֹר הַלְ֒לוּיָהּ:</t>
        </is>
      </c>
      <c r="F178" s="10" t="inlineStr"/>
      <c r="G178" s="11" t="inlineStr">
        <is>
          <t>Siddur Ashkenaz, Weekday, Shacharit, Pesukei Dezimra, Psalm 146</t>
        </is>
      </c>
      <c r="H178" s="8" t="inlineStr">
        <is>
          <t>The Metsudah siddur, 1981 — CC-BY</t>
        </is>
      </c>
      <c r="I178" s="8" t="inlineStr">
        <is>
          <t>sefaria-siddur-ashkenaz-weekday-shacharit-pesukei-dezimra-psalm-146</t>
        </is>
      </c>
    </row>
    <row r="179" ht="284" customHeight="1">
      <c r="A179" s="7">
        <f>IF(LEN(TRIM(F179))=0,"Approved","Comment to address")</f>
        <v/>
      </c>
      <c r="B179" s="12" t="inlineStr">
        <is>
          <t>Psalm 147</t>
        </is>
      </c>
      <c r="C179" s="12" t="inlineStr">
        <is>
          <t>daily</t>
        </is>
      </c>
      <c r="D179" s="12" t="inlineStr">
        <is>
          <t>Ashkenaz</t>
        </is>
      </c>
      <c r="E179" s="13" t="inlineStr">
        <is>
          <t>הַלְ֒לוּיָהּ כִּי־טוֹב זַמְּ֒רָה אֱלֹהֵֽינוּ, כִּי־נָעִים נָאוָה תְהִלָּה: בּוֹנֵה יְרוּשָׁלַֽםִ יְהֹוָה נִדְחֵי יִשְׂרָאֵל יְכַנֵּס: הָרוֹפֵא לִשְׁבֽוּרֵי לֵב וּמְחַבֵּשׁ לְעַצְּ֒בוֹתָם: מוֹנֶה מִסְפָּר לַכּוֹכָבִים לְכֻלָּם שֵׁמוֹת יִקְרָא: גָּדוֹל אֲדוֹנֵֽינוּ וְרַב־כֹּֽחַ לִתְבוּנָתוֹ אֵין מִסְפָּר: מְעוֹדֵד עֲנָוִים יְהֹוָה מַשְׁפִּיל רְשָׁעִים עֲדֵי־אָֽרֶץ: עֱנוּ לַיהוָֹה בְּתוֹדָה זַמְּ֒רוּ לֵאלֹהֵֽינוּ בְכִנּוֹר: הַמְכַסֶּה שָׁמַֽיִם בְּעָבִים הַמֵּכִין לָאָֽרֶץ מָטָר הַמַּצְמִֽיחַ הָרִים חָצִיר: נוֹתֵן לִבְהֵמָה לַחְמָהּ לִבְנֵי עֹרֵב אֲשֶׁר יִקְרָֽאוּ: לֹא בִגְבוּרַת הַסּוּס יֶחְפָּץ לֹא בְשׁוֹקֵי הָאִישׁ יִרְצֶה: רוֹצֶה יְהֹוָה אֶת־יְרֵאָיו אֶת־הַמְיַחֲלִים לְחַסְדּוֹ: שַׁבְּ֒חִי יְרוּשָׁלַֽםִ אֶת יְהֹוָה הַלְ֒לִי אֱלֹהַֽיִךְ צִיּוֹן: כִּי־חִזַּק בְּרִיחֵי שְׁעָרָֽיִךְ בֵּרַךְ בָּנַֽיִךְ בְּקִרְבֵּךְ: הַשָּׂם־גְּבוּלֵךְ שָׁלוֹם חֵֽלֶב חִטִּים יַשְׂבִּיעֵךְ: הַשֹּׁלֵֽחַ אִמְרָתוֹ אָֽרֶץ עַד־מְהֵרָה יָרוּץ דְּבָרוֹ: הַנֹּתֵן שֶֽׁלֶג כַּצָּֽמֶר כְּפוֹר כָּאֵֽפֶר יְפַזֵּר: מַשְׁלִיךְ קַרְחוֹ כְפִתִּים לִפְנֵי קָרָתוֹ מִי יַעֲמֹד: יִשְׁלַח דְּבָרוֹ וְיַמְסֵם יַשֵּׁב רוּחוֹ יִזְּ֒לוּ־מָֽיִם: מַגִּיד דְּבָרָיו לְיַעֲקֹב חֻקָּיו וּמִשְׁפָּטָיו לְיִשְׂרָאֵל: לֹא עָֽשָׂה כֵן לְכָל־גּוֹי וּמִשְׁפָּטִים בַּל־יְדָעוּם הַלְ֒לוּיָהּ:</t>
        </is>
      </c>
      <c r="F179" s="10" t="inlineStr"/>
      <c r="G179" s="14" t="inlineStr">
        <is>
          <t>Siddur Ashkenaz, Weekday, Shacharit, Pesukei Dezimra, Psalm 147</t>
        </is>
      </c>
      <c r="H179" s="12" t="inlineStr">
        <is>
          <t>The Metsudah siddur, 1981 — CC-BY</t>
        </is>
      </c>
      <c r="I179" s="12" t="inlineStr">
        <is>
          <t>sefaria-siddur-ashkenaz-weekday-shacharit-pesukei-dezimra-psalm-147</t>
        </is>
      </c>
    </row>
    <row r="180" ht="216" customHeight="1">
      <c r="A180" s="7">
        <f>IF(LEN(TRIM(F180))=0,"Approved","Comment to address")</f>
        <v/>
      </c>
      <c r="B180" s="8" t="inlineStr">
        <is>
          <t>Psalm 148</t>
        </is>
      </c>
      <c r="C180" s="8" t="inlineStr">
        <is>
          <t>daily</t>
        </is>
      </c>
      <c r="D180" s="8" t="inlineStr">
        <is>
          <t>Ashkenaz</t>
        </is>
      </c>
      <c r="E180" s="9" t="inlineStr">
        <is>
          <t>הַלְ֒לוּיָהּ הַלְ֒לוּ אֶת־יְהֹוָה מִן הַשָּׁמַֽיִם הַלְ֒לֽוּהוּ בַּמְּ֒רוֹמִים: הַלְ֒לֽוּהוּ כָּל־מַלְאָכָיו הַלְ֒לֽוּהוּ כָּל־צְבָאָיו: הַלְ֒לֽוּהוּ שֶֽׁמֶשׁ וְיָרֵֽחַ הַלְ֒לֽוּהוּ כָּל־כּֽוֹכְ֒בֵי אוֹר: הַלְ֒לֽוּהוּ שְׁמֵי הַשָּׁמָֽיִם וְהַמַּֽיִם אֲשֶׁר מֵעַל הַשָּׁמָֽיִם: יְהַלְ֒לוּ אֶת־שֵׁם יְהֹוָה כִּי הוּא צִוָּה וְנִבְרָֽאוּ: וַיַּעֲמִידֵם לָעַד לְעוֹלָם חָק־נָתַן וְלֹא יַעֲבוֹר: הַלְ֒לוּ אֶת־יְהֹוָה מִן־הָאָֽרֶץ תַּנִּינִים וְכָל־תְּהֹמוֹת: אֵשׁ וּבָרָד שֶֽׁלֶג וְקִיטוֹר רֽוּחַ סְעָרָה עֹשָׂה דְבָרוֹ: הֶהָרִים וְכָל־גְּבָעוֹת עֵץ פְּרִי וְכָל־אֲרָזִים: הַחַיָּה וְכָל־בְּהֵמָה רֶֽמֶשׂ וְצִפּוֹר כָּנָף: מַלְכֵי־אֶֽרֶץ וְכָל־לְאֻמִּים שָׂרִים וְכָל־שֹׁפְטֵי אָֽרֶץ: בַּחוּרִים וְגַם־בְּתוּלוֹת זְקֵנִים עִם־נְעָרִים: יְהַלְ֒לוּ אֶת־שֵׁם יְהֹוָה כִּי־נִשְׂגָּב שְׁמוֹ לְבַדּוֹ הוֹדוֹ עַל־אֶֽרֶץ וְשָׁמָֽיִם: וַיָּֽרֶם קֶֽרֶן לְעַמּוֹ תְּהִלָּה לְכָל־חֲסִידָיו לִבְנֵי יִשְׂרָאֵל עַם קְרֹבוֹ הַלְ֒לוּיָהּ:</t>
        </is>
      </c>
      <c r="F180" s="10" t="inlineStr"/>
      <c r="G180" s="11" t="inlineStr">
        <is>
          <t>Siddur Ashkenaz, Weekday, Shacharit, Pesukei Dezimra, Psalm 148</t>
        </is>
      </c>
      <c r="H180" s="8" t="inlineStr">
        <is>
          <t>The Metsudah siddur, 1981 — CC-BY</t>
        </is>
      </c>
      <c r="I180" s="8" t="inlineStr">
        <is>
          <t>sefaria-siddur-ashkenaz-weekday-shacharit-pesukei-dezimra-psalm-148</t>
        </is>
      </c>
    </row>
    <row r="181" ht="148" customHeight="1">
      <c r="A181" s="7">
        <f>IF(LEN(TRIM(F181))=0,"Approved","Comment to address")</f>
        <v/>
      </c>
      <c r="B181" s="12" t="inlineStr">
        <is>
          <t>Psalm 149</t>
        </is>
      </c>
      <c r="C181" s="12" t="inlineStr">
        <is>
          <t>daily</t>
        </is>
      </c>
      <c r="D181" s="12" t="inlineStr">
        <is>
          <t>Ashkenaz</t>
        </is>
      </c>
      <c r="E181" s="13" t="inlineStr">
        <is>
          <t>הַלְ֒לוּיָהּ שִֽׁירוּ לַיהוָֹה שִׁיר חָדָשׁ תְּהִלָּתוֹ בִּקְהַל חֲסִידִים: יִשְׂמַח יִשְׂרָאֵל בְּעֹשָׂיו בְּנֵי־צִיּוֹן יָגִֽילוּ בְמַלְכָּם: יְהַלְ֒לוּ שְׁמוֹ בְמָחוֹל בְּתֹף וְכִנּוֹר יְזַמְּ֒רוּ־לוֹ: כִּי־רוֹצֶה יְהֹוָה בְּעַמּוֹ יְפָאֵר עֲנָוִים בִּישׁוּעָה: יַעְלְזוּ חֲסִידִים בְּכָבוֹד יְרַנְּנוּ עַל־מִשְׁכְּבוֹתָם: רוֹמְ֒מוֹת אֵל בִּגְרוֹנָם וְחֶֽרֶב פִּיפִיּוֹת בְּיָדָם: לַעֲשׂוֹת נְקָמָה בַגּוֹיִם תּוֹכֵחוֹת בַּלְאֻמִּים: לֶאְסֹר מַלְכֵיהֶם בְּזִקִּים וְנִכְבְּדֵיהֶם בְּכַבְלֵי בַרְזֶל: לַעֲשׂוֹת בָּהֶם מִשְׁפָּט כָּתוּב הָדָר הוּא לְכָל־חֲסִידָיו הַלְ֒לוּיָהּ:</t>
        </is>
      </c>
      <c r="F181" s="10" t="inlineStr"/>
      <c r="G181" s="14" t="inlineStr">
        <is>
          <t>Siddur Ashkenaz, Weekday, Shacharit, Pesukei Dezimra, Psalm 149</t>
        </is>
      </c>
      <c r="H181" s="12" t="inlineStr">
        <is>
          <t>The Metsudah siddur, 1981 — CC-BY</t>
        </is>
      </c>
      <c r="I181" s="12" t="inlineStr">
        <is>
          <t>sefaria-siddur-ashkenaz-weekday-shacharit-pesukei-dezimra-psalm-149</t>
        </is>
      </c>
    </row>
    <row r="182" ht="114" customHeight="1">
      <c r="A182" s="7">
        <f>IF(LEN(TRIM(F182))=0,"Approved","Comment to address")</f>
        <v/>
      </c>
      <c r="B182" s="8" t="inlineStr">
        <is>
          <t>Psalm 150</t>
        </is>
      </c>
      <c r="C182" s="8" t="inlineStr">
        <is>
          <t>daily</t>
        </is>
      </c>
      <c r="D182" s="8" t="inlineStr">
        <is>
          <t>Ashkenaz</t>
        </is>
      </c>
      <c r="E182" s="9" t="inlineStr">
        <is>
          <t>הַלְ֒לוּיָהּ הַֽלְ֒לוּ־אֵל בְּקָדְשׁוֹ הַלְ֒לֽוּהוּ בִּרְקִֽיעַ עֻזּוֹ: הַלְ֒לֽוּהוּ בִּגְבוּרֹתָיו הַלְ֒לֽוּהוּ כְּרֹב גֻּדְלוֹ: הַלְ֒לֽוּהוּ בְּתֵֽקַע שׁוֹפָר הַלְ֒לֽוּהוּ בְּנֵֽבֶל וְכִנּוֹר: הַלְ֒לֽוּהוּ בְּתֹף וּמָחוֹל הַלְ֒לֽוּהוּ בְּמִנִּים וְעֻגָב: הַלְ֒לֽוּהוּ בְצִלְצְלֵי־שָֽׁמַע הַלְ֒לֽוּהוּ בְּצִלְצְלֵי תְרוּעָה: כֹּל הַנְּ֒שָׁמָה תְּהַלֵּל יָהּ הַלְ֒לוּיָהּ: כֹּל הַנְּ֒שָׁמָה תְּהַלֵּל יָהּ הַלְ֒לוּיָהּ:</t>
        </is>
      </c>
      <c r="F182" s="10" t="inlineStr"/>
      <c r="G182" s="11" t="inlineStr">
        <is>
          <t>Siddur Ashkenaz, Weekday, Shacharit, Pesukei Dezimra, Psalm 150</t>
        </is>
      </c>
      <c r="H182" s="8" t="inlineStr">
        <is>
          <t>The Metsudah siddur, 1981 — CC-BY</t>
        </is>
      </c>
      <c r="I182" s="8" t="inlineStr">
        <is>
          <t>sefaria-siddur-ashkenaz-weekday-shacharit-pesukei-dezimra-psalm-150</t>
        </is>
      </c>
    </row>
    <row r="183" ht="114" customHeight="1">
      <c r="A183" s="7">
        <f>IF(LEN(TRIM(F183))=0,"Approved","Comment to address")</f>
        <v/>
      </c>
      <c r="B183" s="12" t="inlineStr">
        <is>
          <t>Closing Verses</t>
        </is>
      </c>
      <c r="C183" s="12" t="inlineStr">
        <is>
          <t>daily</t>
        </is>
      </c>
      <c r="D183" s="12" t="inlineStr">
        <is>
          <t>Ashkenaz</t>
        </is>
      </c>
      <c r="E183" s="13" t="inlineStr">
        <is>
          <t>קבעו פסוקים אלו אחר כל הנשמה משום שאלו הכתובים מצינו אותם כתובים בסוף ספרי תהלים. לכן תקנו לאמרם בהשלמת פסוקי דזמרה (א"ר סי' נ"א)
בָּרוּךְ יְהֹוָה לְעוֹלָם אָמֵן וְאָמֵן: בָּרוּךְ יְהֹוָה מִצִּיּוֹן שֹׁכֵן יְרוּשָׁלָֽםִ הַלְ֒לוּיָהּ: בָּרוּךְ יְהֹוָה אֱלֹהִים אֱלֹהֵי יִשְׂרָאֵל עֹשֵׂה נִפְלָאוֹת לְבַדּוֹ: וּבָרוּךְ שֵׁם כְּבוֹדוֹ לְעוֹלָם וְיִמָּלֵא כְבוֹדוֹ אֶת־כָּל־הָאָֽרֶץ אָמֵן וְאָמֵן:</t>
        </is>
      </c>
      <c r="F183" s="10" t="inlineStr"/>
      <c r="G183" s="14" t="inlineStr">
        <is>
          <t>Siddur Ashkenaz, Weekday, Shacharit, Pesukei Dezimra, Closing Verses</t>
        </is>
      </c>
      <c r="H183" s="12" t="inlineStr">
        <is>
          <t>The Metsudah siddur, 1981 — CC-BY</t>
        </is>
      </c>
      <c r="I183" s="12" t="inlineStr">
        <is>
          <t>sefaria-siddur-ashkenaz-weekday-shacharit-pesukei-dezimra-closing-verses</t>
        </is>
      </c>
    </row>
    <row r="184" ht="182" customHeight="1">
      <c r="A184" s="7">
        <f>IF(LEN(TRIM(F184))=0,"Approved","Comment to address")</f>
        <v/>
      </c>
      <c r="B184" s="8" t="inlineStr">
        <is>
          <t>Vayevarech David</t>
        </is>
      </c>
      <c r="C184" s="8" t="inlineStr">
        <is>
          <t>daily</t>
        </is>
      </c>
      <c r="D184" s="8" t="inlineStr">
        <is>
          <t>Ashkenaz</t>
        </is>
      </c>
      <c r="E184" s="9" t="inlineStr">
        <is>
          <t>הטעם שנהגו לומר ויברך דוד ושירת הים לפי שכל אותם חמשה עשר לשונות של שבח הסדורין בברכת ישתבח דורש במכלתין מתוך שירת הים ומתוך פסוקים של ויברך דוד (אבודרהם).
בויברך דויד יעמוד עד שיאמר אתה הוא ה' האלהים ועד בכלל
וַיְבָֽרֶךְ דָּוִיד אֶת־יְהֹוָה לְעֵינֵי כָּל־הַקָּהָל וַיֹּֽאמֶר דָּוִיד בָּרוּךְ אַתָּה יְהֹוָה אֱלֹהֵי יִשְׂרָאֵל אָבִֽינוּ, מֵעוֹלָם וְעַד־עוֹלָם: לְךָ יְהֹוָה הַגְּ֒דֻלָּה וְהַגְּ֒בוּרָה וְהַתִּפְאֶֽרֶת וְהַנֵּֽצַח וְהַהוֹד כִּי־כֹל בַּשָּׁמַֽיִם וּבָאָֽרֶץ לְךָ יְהֹוָה הַמַּמְלָכָה וְהַמִּתְנַשֵּׂא לְכֹל לְרֹאשׁ: וְהָעֽשֶׁר וְהַכָּבוֹד מִלְּ֒פָנֶֽיךָ וְאַתָּה מוֹשֵׁל בַּכֹּל, וּבְיָדְ֒ךָ כֹּֽחַ וּגְבוּרָה, וּבְיָדְ֒ךָ לְגַדֵּל וּלְחַזֵּק לַכֹּל: וְעַתָּה אֱלֹהֵֽינוּ מוֹדִים אֲנַֽחְנוּ לָךְ וּמְהַלְלִים לְשֵׁם תִּפְאַרְתֶּֽךָ:</t>
        </is>
      </c>
      <c r="F184" s="10" t="inlineStr"/>
      <c r="G184" s="11" t="inlineStr">
        <is>
          <t>Siddur Ashkenaz, Weekday, Shacharit, Pesukei Dezimra, Vayevarech David</t>
        </is>
      </c>
      <c r="H184" s="8" t="inlineStr">
        <is>
          <t>The Metsudah siddur, 1981 — CC-BY</t>
        </is>
      </c>
      <c r="I184" s="8" t="inlineStr">
        <is>
          <t>sefaria-siddur-ashkenaz-weekday-shacharit-pesukei-dezimra-vayevarech-david</t>
        </is>
      </c>
    </row>
    <row r="185" ht="233" customHeight="1">
      <c r="A185" s="7">
        <f>IF(LEN(TRIM(F185))=0,"Approved","Comment to address")</f>
        <v/>
      </c>
      <c r="B185" s="12" t="inlineStr">
        <is>
          <t>Ata Hu</t>
        </is>
      </c>
      <c r="C185" s="12" t="inlineStr">
        <is>
          <t>daily</t>
        </is>
      </c>
      <c r="D185" s="12" t="inlineStr">
        <is>
          <t>Ashkenaz</t>
        </is>
      </c>
      <c r="E185" s="13" t="inlineStr">
        <is>
          <t>אַתָּה־הוּא יְהֹוָה לְבַדֶּֽךָ, אַתָּה עָשִֽׂיתָ אֶת־הַשָּׁמַֽיִם שְׁמֵי הַשָּׁמַֽיִם וְכָל־צְבָאָם, הָאָֽרֶץ וְכָל־אֲשֶׁר עָלֶֽיהָ הַיַּמִּים וְכָל־אֲשֶׁר בָּהֶם, וְאַתָּה מְחַיֶּה אֶת־כֻּלָּם וּצְבָא הַשָּׁמַֽיִם לְךָ מִשְׁתַּחֲוִים: אַתָּה הוּא יְהֹוָה הָאֱלֹהִים אֲשֶׁר בָּחַֽרְתָּ בְּאַבְרָם וְהוֹצֵאתוֹ מֵאוּר כַּשְׂדִּים וְשַֽׂמְתָּ שְׁמוֹ אַבְרָהָם: וּמָצָֽאתָ אֶת־לְבָבוֹ נֶאֱמָן לְפָנֶֽיךָ
וְכָרוֹת עִמּוֹ הַבְּ֒רִית לָתֵת אֶת־אֶרֶץ הַכְּ֒נַֽעֲנִי הַחִתִּי הָֽאֱמֹרִי וְהַפְּ֒רִזִּי וְהַיְבוּסִי וְהַגִּרְגָּשִׁי לָתֵת לְזַרְעוֹ. וַתָּקֶם אֶת־דְּבָרֶיךָ כִּי צַדִּיק אָֽתָּה. וַתֵּרֶא אֶת־עֳנִי אֲבֹתֵינוּ בְּמִצְרָיִם וְאֶת־זַֽעֲקָתָם שָׁמַעְתָּ עַל־יַם־סֽוּף. וַתִּתֵּן אֹתֹת וּמֹֽפְ֒תִים בְּפַרְעֹה וּבְכָל־עֲבָדָיו וּבְכָל־עַם אַרְצוֹ כִּי יָדַעְתָּ כִּי הֵזִידוּ עֲלֵיהֶם. וַתַּֽעַשׂ־לְךָ שֵׁם כְּהַיּוֹם הַזֶּֽה. וְהַיָּם בָּקַעְתָּ לִפְנֵיהֶם וַיַּֽעַבְרוּ בְתוֹךְ־הַיָּם בַּיַּבָּשָׁה. וְֽאֶת־רֹדְ֒פֵיהֶם הִשְׁלַכְתָּ בִמְצוֹלֹת כְּמוֹ־אֶבֶן בְּמַיִם עַזִּֽים.</t>
        </is>
      </c>
      <c r="F185" s="10" t="inlineStr"/>
      <c r="G185" s="14" t="inlineStr">
        <is>
          <t>Siddur Ashkenaz, Weekday, Shacharit, Pesukei Dezimra, Ata Hu</t>
        </is>
      </c>
      <c r="H185" s="12" t="inlineStr">
        <is>
          <t>The Metsudah siddur, 1981 — CC-BY</t>
        </is>
      </c>
      <c r="I185" s="12" t="inlineStr">
        <is>
          <t>sefaria-siddur-ashkenaz-weekday-shacharit-pesukei-dezimra-ata-hu</t>
        </is>
      </c>
    </row>
    <row r="186" ht="409" customHeight="1">
      <c r="A186" s="7">
        <f>IF(LEN(TRIM(F186))=0,"Approved","Comment to address")</f>
        <v/>
      </c>
      <c r="B186" s="8" t="inlineStr">
        <is>
          <t>Az Yashir</t>
        </is>
      </c>
      <c r="C186" s="8" t="inlineStr">
        <is>
          <t>daily</t>
        </is>
      </c>
      <c r="D186" s="8" t="inlineStr">
        <is>
          <t>Ashkenaz</t>
        </is>
      </c>
      <c r="E186" s="9" t="inlineStr">
        <is>
          <t>תקנו לומר וישע ה' ביום ההוא ושירת הים והוא זכר ליציאת מצרים. וכופלין פסוק ה' ימלוך לעולם ועד מפני שהוא סוף השירה (אבודרהם). כל האומר שירת הים בשמחה ובעצמו שיער כאלו הוא ניצול מהים ופרעה וחילו הם נטבעו ואמר שירה מכפרים לו עונותיו (צפורן שמיר)
וַיּֽוֹשַׁע יְהֹוָה בַּיּוֹם הַהוּא אֶת־יִשְׂרָאֵל מִיַּד מִצְרָֽיִם וַיַּרְא יִשְׂרָאֵל אֶת־מִצְרַֽיִם מֵת עַל־שְׂפַת הַיָּם: וַיַּרְא יִשְׂרָאֵל אֶת־הַיָּד הַגְּ֒דֹלָה אֲשֶׁר עָשָׂה יְהֹוָה בְּמִצְרַֽיִם וַיִּירְ֒אוּ הָעָם אֶת יְהֹוָה וַיַּאֲמִֽינוּ בַּיהוָֹה וּבְמשֶׁה עַבְדּוֹ:
אָז יָשִׁיר־משֶׁה וּבְנֵי יִשְׂרָאֵל אֶת־הַשִּׁירָה הַזֹּאת לַיהוָֹה וַיֹּאמְרוּ לֵאמֹר אָשִֽׁירָה לַיהוָֹה כִּי־גָאֹה גָּאָה סוּס וְרֹכְ֒בוֹ רָמָה בַיָּם: עָזִּי וְזִמְרָת יָהּ וַיְהִי־לִי לִישׁוּעָה זֶה אֵלִי וְאַנְוֵֽהוּ אֱלֹהֵי אָבִי וַאֲרֹמְ֒מֶֽנְהוּ: יְהֹוָה אִישׁ מִלְחָמָה יְהֹוָה שְׁמוֹ: מַרְכְּבֹת פַּרְעֹה וְחֵילוֹ יָרָה בַיָּם וּמִבְחַר שָׁלִשָׁיו טֻבְּ֒עוּ בְיַם־סוּף: תְּהֹמֹת יְכַסְיֻֽמוּ יָרְ֒דוּ בִמְצוֹלֹת כְּמוֹ־אָֽבֶן: יְמִינְ֒ךָ יְהֹוָה נֶאְדָּרִי בַּכֹּֽחַ יְמִֽינְ֒ךָ יְהֹוָה תִּרְעַץ אוֹיֵב: וּבְרֹב גְּאוֹנְ֒ךָ תַּהֲרֹס קָמֶֽיךָ תְּשַׁלַּח חֲרֹנְ֒ךָ יֹֽאכְ֒לֵמוֹ כַּקַּשׁ: וּבְרֽוּחַ אַפֶּֽיךָ נֶֽעֶרְמוּ מַֽיִם נִצְּ֒בוּ כְמוֹ־נֵד נֹזְ֒לִים קָפְ֒אוּ תְהֹמֹת בְּלֶב־יָם: אָמַר אוֹיֵב אֶרְדֹּף אַשִּׂיג אֲחַלֵּק שָׁלָל תִּמְלָאֵֽמוֹ נַפְשִׁי אָרִיק חַרְבִּי תּוֹרִישֵֽׁמוֹ יָדִי: נָשַֽׁפְתָּ בְרוּחֲךָ כִּסָּֽמוֹ יָם צָלֲלוּ כַּעוֹפֶֽרֶת בְּמַֽיִם אַדִּירִים: מִי־כָמֹֽכָה בָּאֵלִם יְהֹוָה מִי כָּמֹֽכָה נֶאְדָּר בַּקֹּֽדֶשׁ נוֹרָא תְהִלֹּת עֹֽשֵׂה־פֶֽלֶא: נָטִֽיתָ יְמִינְ֒ךָ תִּבְלָעֵֽמוֹ אָֽרֶץ: נָחִֽיתָ בְחַסְדְּ֒ךָ עַם־זוּ גָּאָֽלְתָּ נֵהַֽלְתָּ בְעָזְּ֒ךָ אֶל־נְוֵה קָדְשֶֽׁךָ: שָֽׁמְ֒עוּ עַמִּים יִרְגָּזוּן חִיל אָחַז ישְׁ֒בֵי פְּלָֽשֶׁת: אָז נִבְהֲלוּ אַלּוּפֵי אֱדוֹם אֵילֵי מוֹאָב יֹֽאחֲזֵֽמוֹ רָֽעַד נָמֹֽגוּ כֹּל ישְׁ֒בֵי כְנָֽעַן: תִּפֹּל עֲלֵיהֶם אֵימָֽתָה וָפַֽחַד בִּגְדֹל זְרוֹעֲךָ יִדְּ֒מוּ כָּאָֽבֶן עַד־יַֽעֲבֹר עַמְּ֒ךָ יְהֹוָה עַד־יַֽעֲבֹר עַם־זוּ קָנִֽיתָ: תְּבִאֵֽמוֹ וְתִטָּעֵֽמוֹ בְּהַר נַחֲלָתְ֒ךָ מָכוֹן לְשִׁבְתְּ֒ךָ פָּעַֽלְתָּ יְהֹוָה מִקְּ֒דָשׁ אֲדֹנָי כּוֹנְ֒נוּ יָדֶֽיךָ: יְהֹוָה יִמְלֹךְ לְעֹלָם וָעֶד: יְהֹוָה יִמְלֹךְ לְעֹלָם וָעֶד: יְהֹוָה מַלְכוּתֵהּ קָאֵים לְעָלַם וּלְעָלְ֒מֵי עָלְ֒מַיָּא: כִּי בָא סוּס פַּרְעֹה בְּרִכְבּוֹ וּבְפָרָשָׁיו בַּיָּם וַיָּֽשֶׁב יְהֹוָה עֲלֵהֶם אֶת־מֵי הַיָּם וּבְנֵי יִשְׂרָאֵל הָלְ֒כוּ בַיַּבָּשָׁה בְּתוֹךְ הַיָּֽם: כִּי לַיהוָֹה הַמְּ֒לוּכָה וּמשֵׁל בַּגּוֹיִם: וְעָלוּ מוֹשִׁעִים בְּהַר צִיּוֹן לִשְׁפֹּט אֶת־הַר עֵשָׂו, וְהָיְ֒תָה לַיהוָֹה הַמְּ֒לוּכָה: וְהָיָה יְהֹוָה לְמֶֽלֶךְ עַל־כָּל הָאָֽרֶץ בַּיּוֹם הַהוּא יִהְיֶה יְהֹוָה אֶחָד וּשְׁמוֹ אֶחָד:</t>
        </is>
      </c>
      <c r="F186" s="10" t="inlineStr"/>
      <c r="G186" s="11" t="inlineStr">
        <is>
          <t>Siddur Ashkenaz, Weekday, Shacharit, Pesukei Dezimra, Az Yashir</t>
        </is>
      </c>
      <c r="H186" s="8" t="inlineStr">
        <is>
          <t>The Metsudah siddur, 1981 — CC-BY</t>
        </is>
      </c>
      <c r="I186" s="8" t="inlineStr">
        <is>
          <t>sefaria-siddur-ashkenaz-weekday-shacharit-pesukei-dezimra-az-yashir</t>
        </is>
      </c>
    </row>
    <row r="187" ht="131" customHeight="1">
      <c r="A187" s="7">
        <f>IF(LEN(TRIM(F187))=0,"Approved","Comment to address")</f>
        <v/>
      </c>
      <c r="B187" s="12" t="inlineStr">
        <is>
          <t>Yishtabach</t>
        </is>
      </c>
      <c r="C187" s="12" t="inlineStr">
        <is>
          <t>daily</t>
        </is>
      </c>
      <c r="D187" s="12" t="inlineStr">
        <is>
          <t>Ashkenaz</t>
        </is>
      </c>
      <c r="E187" s="13" t="inlineStr">
        <is>
          <t>יִשְׁתַּבַּח שִׁמְךָ לָעַד מַלְכֵּנוּ. הָאֵל הַמֶּֽלֶךְ הַגָּדוֹל וְהַקָּדוֹשׁ בַּשָּׁמַֽיִם וּבָאָֽרֶץ. כִּי לְךָ נָאֶה יְהֹוָה אֱלֹהֵֽינוּ וֵאלֹהֵי אֲבוֹתֵֽינוּ. שִׁיר וּשְׁבָחָה הַלֵּל וְזִמְרָה. עֹז וּמֶמְשָׁלָה. נֶֽצַח גְּדֻלָּה וּגְבוּרָה. תְּהִלָּה וְתִפְאֶֽרֶת. קְדֻשָּׁה וּמַלְכוּת. בְּרָכוֹת וְהוֹדָאוֹת מֵעַתָּה וְעַד־עוֹלָם. בָּרוּךְ אַתָּה יְהֹוָה אֵל מֶֽלֶךְ גָּדוֹל בַּתִּשְׁבָּחוֹת. אֵל הַהוֹדָאוֹת אֲדוֹן הַנִּפְלָאוֹת הַבּוֹחֵר בְּשִׁירֵי זִמְרָה. מֶֽלֶךְ אֵל חֵי הָעוֹלָמִים.</t>
        </is>
      </c>
      <c r="F187" s="10" t="inlineStr"/>
      <c r="G187" s="14" t="inlineStr">
        <is>
          <t>Siddur Ashkenaz, Weekday, Shacharit, Pesukei Dezimra, Yishtabach</t>
        </is>
      </c>
      <c r="H187" s="12" t="inlineStr">
        <is>
          <t>The Metsudah siddur, 1981 — CC-BY</t>
        </is>
      </c>
      <c r="I187" s="12" t="inlineStr">
        <is>
          <t>sefaria-siddur-ashkenaz-weekday-shacharit-pesukei-dezimra-yishtabach</t>
        </is>
      </c>
    </row>
    <row r="188" ht="148" customHeight="1">
      <c r="A188" s="7">
        <f>IF(LEN(TRIM(F188))=0,"Approved","Comment to address")</f>
        <v/>
      </c>
      <c r="B188" s="8" t="inlineStr">
        <is>
          <t>Psalm 130</t>
        </is>
      </c>
      <c r="C188" s="8" t="inlineStr">
        <is>
          <t>daily</t>
        </is>
      </c>
      <c r="D188" s="8" t="inlineStr">
        <is>
          <t>Ashkenaz</t>
        </is>
      </c>
      <c r="E188" s="9" t="inlineStr">
        <is>
          <t>בעשרת ימי תשובה מוסיפין:
שִׁיר הַמַּעֲלוֹת מִמַּעֲמַקִּים קְרָאתִֽיךָ יְהֹוָה: אֲדֹנָי שִׁמְעָה בְקוֹלִי תִּהְיֶֽינָה אָזְנֶֽיךָ קַשֻּׁבוֹת לְקוֹל תַּחֲנוּנָי: אִם־עֲוֹנוֹת תִּשְׁמָר־יָהּ אֲדֹנָי מִי יַעֲמֹד: כִּי־עִמְּ֒ךָ הַסְּ֒לִיחָה לְמַֽעַן תִּוָּרֵא: קִוִּיתִי יְהֹוָה קִוְּתָה נַפְשִׁי וְלִדְבָרוֹ הוֹחָֽלְתִּי: נַפְשִׁי לַאדֹנָי מִשֹּׁמְ֒רִים לַבֹּֽקֶר שֹׁמְ֒רִים לַבֹּֽקֶר: יַחֵל יִשְׂרָאֵל אֶל־יְהֹוָה כִּי־עִם־יְהֹוָה הַחֶֽסֶד וְהַרְבֵּה עִמּוֹ פְדוּת: וְהוּא יִפְדֶּה אֶת־יִשְׂרָאֵל מִכֹּל עֲוֹנוֹתָיו:</t>
        </is>
      </c>
      <c r="F188" s="10" t="inlineStr"/>
      <c r="G188" s="11" t="inlineStr">
        <is>
          <t>Siddur Ashkenaz, Weekday, Shacharit, Pesukei Dezimra, Psalm 130</t>
        </is>
      </c>
      <c r="H188" s="8" t="inlineStr">
        <is>
          <t>The Metsudah siddur, 1981 — CC-BY</t>
        </is>
      </c>
      <c r="I188" s="8" t="inlineStr">
        <is>
          <t>sefaria-siddur-ashkenaz-weekday-shacharit-pesukei-dezimra-psalm-130</t>
        </is>
      </c>
    </row>
    <row r="189" ht="182" customHeight="1">
      <c r="A189" s="7">
        <f>IF(LEN(TRIM(F189))=0,"Approved","Comment to address")</f>
        <v/>
      </c>
      <c r="B189" s="12" t="inlineStr">
        <is>
          <t>Half Kaddish</t>
        </is>
      </c>
      <c r="C189" s="12" t="inlineStr">
        <is>
          <t>daily</t>
        </is>
      </c>
      <c r="D189" s="12" t="inlineStr">
        <is>
          <t>Ashkenaz</t>
        </is>
      </c>
      <c r="E189" s="13" t="inlineStr">
        <is>
          <t>ואומר החזן חצי קדיש: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t>
        </is>
      </c>
      <c r="F189" s="10" t="inlineStr"/>
      <c r="G189" s="14" t="inlineStr">
        <is>
          <t>Siddur Ashkenaz, Weekday, Shacharit, Pesukei Dezimra, Half Kaddish</t>
        </is>
      </c>
      <c r="H189" s="12" t="inlineStr">
        <is>
          <t>The Metsudah siddur, 1981 — CC-BY</t>
        </is>
      </c>
      <c r="I189" s="12" t="inlineStr">
        <is>
          <t>sefaria-siddur-ashkenaz-weekday-shacharit-pesukei-dezimra-half-kaddish</t>
        </is>
      </c>
    </row>
    <row r="190" ht="131" customHeight="1">
      <c r="A190" s="7">
        <f>IF(LEN(TRIM(F190))=0,"Approved","Comment to address")</f>
        <v/>
      </c>
      <c r="B190" s="8" t="inlineStr">
        <is>
          <t>Barchu</t>
        </is>
      </c>
      <c r="C190" s="8" t="inlineStr">
        <is>
          <t>daily</t>
        </is>
      </c>
      <c r="D190" s="8" t="inlineStr">
        <is>
          <t>Ashkenaz</t>
        </is>
      </c>
      <c r="E190" s="9" t="inlineStr">
        <is>
          <t>המנהג הפשוט בכל תפוצות ישראל לומר ברכו לפני פריסת שמע. ואין לאומרו בפחות מעשרה שכל דבר שבקדושה אינו בפחות מעשרה (אבודרהם).
ואומר שליח צבור:
בָּרְ֒כוּ אֶת יְהֹוָה הַמְּ֒בֹרָךְ:
ועונין הקהל:
בָּרוּךְ יְהֹוָה הַמְּ֒בֹרָךְ לְעוֹלָם וָעֶד:
אין להפסיק כלל בין ברכו ליוצר אור אפילו לדבר מצוה (לבוש).</t>
        </is>
      </c>
      <c r="F190" s="10" t="inlineStr"/>
      <c r="G190" s="11" t="inlineStr">
        <is>
          <t>Siddur Ashkenaz, Weekday, Shacharit, Blessings of the Shema, Barchu</t>
        </is>
      </c>
      <c r="H190" s="8" t="inlineStr">
        <is>
          <t>The Metsudah siddur, 1981 — CC-BY</t>
        </is>
      </c>
      <c r="I190" s="8" t="inlineStr">
        <is>
          <t>sefaria-siddur-ashkenaz-weekday-shacharit-blessings-of-the-shema-barchu</t>
        </is>
      </c>
    </row>
    <row r="191" ht="409" customHeight="1">
      <c r="A191" s="7">
        <f>IF(LEN(TRIM(F191))=0,"Approved","Comment to address")</f>
        <v/>
      </c>
      <c r="B191" s="12" t="inlineStr">
        <is>
          <t>First Blessing before Shema</t>
        </is>
      </c>
      <c r="C191" s="12" t="inlineStr">
        <is>
          <t>daily</t>
        </is>
      </c>
      <c r="D191" s="12" t="inlineStr">
        <is>
          <t>Ashkenaz</t>
        </is>
      </c>
      <c r="E191" s="13" t="inlineStr">
        <is>
          <t>בָּרוּךְ אַתָּה יְהֹוָה אֱלֹהֵֽינוּ מֶֽלֶךְ הָעוֹלָם יוֹצֵר אוֹר וּבוֹרֵא חֽשֶׁךְ עֹשֶׂה שָׁלוֹם וּבוֹרֵא אֶת־הַכֹּל:
הַמֵּאִיר לָאָֽרֶץ וְלַדָּרִים עָלֶֽיהָ בְּרַחֲמִים וּבְטוּבוֹ מְחַדֵּשׁ בְּכָל־יוֹם תָּמִיד מַעֲשֵׂה בְרֵאשִׁית: מָה־רַבּוּ מַעֲשֶׂיךָ | יְהֹוָה כֻּלָּם בְּחָכְמָה עָשִׂיתָ מָלְ֒אָה הָאָרֶץ קִנְיָנֶֽךָ: הַמֶּֽלֶךְ הַמְ֒רוֹמָם לְבַדּוֹ מֵאָז. הַמְ֒שֻׁבָּח וְהַמְ֒פֹאָר וְהַמִּתְנַשֵּׂא מִימוֹת עוֹלָם: אֱלֹהֵי עוֹלָם בְּרַחֲמֶֽיךָ הָרַבִּים רַחֵם עָלֵֽינוּ אֲדוֹן עֻזֵּֽנוּ צוּר מִשְׂגַּבֵּֽנוּ מָגֵן יִשְׁעֵֽנוּ מִשְׂגָּב בַּעֲדֵֽנוּ: אֵל בָּרוּךְ גְּדוֹל דֵּעָה הֵכִין וּפָעַל זָהֳרֵי חַמָּה: טוֹב יָצַר כָּבוֹד לִשְׁמוֹ מְאוֹרוֹת נָתַן סְבִיבוֹת עֻזּוֹ: פִּנּוֹת צְבָאָיו קְדוֹשִׁים רוֹמְ֒מֵי שַׁדַּי תָּמִיד מְסַפְּרִים כְּבוֹד־אֵל וּקְדֻשָּׁתוֹ: תִּתְבָּרַךְ יְהֹוָה אֱלֹהֵֽינוּ עַל־שֶֽׁבַח מַעֲשֵׂה יָדֶֽיךָ וְעַל־מְאֽוֹרֵי אוֹר שֶׁעָשִֽׂיתָ יְפָאֲרֽוּךָ סֶּֽלָה:
תִּתְבָּרַךְ צוּרֵֽנוּ מַלְכֵּֽנוּ וְגוֹאֲלֵֽנוּ בּוֹרֵא קְדוֹשִׁים. יִשְׁתַּבַּח שִׁמְךָ לָעַד מַלְכֵּֽנוּ יוֹצֵר מְשָׁרְ֒תִים. וַאֲשֶׁר מְשָׁרְ֒תָיו כֻּלָּם עוֹמְ֒דִים בְּרוּם עוֹלָם וּמַשְׁמִיעִים בְּיִרְאָה יַֽחַד בְּקוֹל דִּבְרֵי אֱלֹהִים חַיִּים וּמֶֽלֶךְ עוֹלָם. כֻּלָּם אֲהוּבִים. כֻּלָּם בְּרוּרִים. כֻּלָּם גִּבּוֹרִים. וְכֻלָּם עוֹשִׂים בְּאֵימָה וּבְיִרְאָה רְצוֹן קוֹנָם. וְכֻלָּם פּוֹתְ֒חִים אֶת־פִּיהֶם בִּקְדֻשָּׁה וּבְטָהֳרָה. בְּשִׁירָה וּבְזִמְרָה. וּמְבָרְ֒כִים וּמְשַׁבְּ֒חִים וּמְפָאֲרִים וּמַעֲרִיצִים וּמַקְדִּישִׁים וּמַמְלִיכִים:
אֶת שֵׁם הָאֵל הַמֶּֽלֶךְ הַגָּדוֹל הַגִּבּוֹר וְהַנּוֹרָא קָדוֹשׁ הוּא. וְכֻלָּם מְקַבְּ֒לִים עֲלֵיהֶם עֹל מַלְכוּת שָׁמַֽיִם זֶה מִזֶּה. וְנוֹתְ֒נִים רְשׁוּת זֶה לָזֶה לְהַקְדִּישׁ לְיוֹצְ֒רָם בְּנַֽחַת רֽוּחַ. בְּשָׂפָה בְרוּרָה וּבִנְעִימָה. קְדֻשָּׁה כֻּלָּם כְּאֶחָד עוֹנִים וְאוֹמְ֒רִים בְּיִרְאָה:
קָדוֹשׁ קָדוֹשׁ, קָדוֹשׁ יְהֹוָה צְבָאוֹת. מְלֹא כָל־הָאָֽרֶץ כְּבוֹדוֹ:
וְהָאוֹפַנִּים וְחַיּוֹת הַקֹּֽדֶשׁ בְּרַֽעַשׁ גָּדוֹל מִתְנַשְּׂ֒אִים לְעֻמַּת שְׂרָפִים לְעֻמָּתָם מְשַׁבְּ֒חִים וְאוֹמְ֒רִים:
בָּרוּךְ כְּבוֹד־יְהֹוָה מִמְּ֒קוֹמוֹ:
לְאֵל בָּרוּךְ נְעִימוֹת יִתֵּֽנוּ. לְמֶֽלֶךְ אֵל חַי וְקַיָּם זְמִרוֹת יֹאמֵֽרוּ וְתִשְׁבָּחוֹת יַשְׁמִֽיעוּ. כִּי הוּא לְבַדּוֹ פּוֹעֵל גְּבוּרוֹת. עוֹשֶׂה חֲדָשׁוֹת. בַּֽעַל מִלְחָמוֹת. זוֹרֵֽעַ צְדָקוֹת. מַצְמִֽיחַ יְשׁוּעוֹת. בּוֹרֵא רְפוּאוֹת. נוֹרָא תְהִלּוֹת. אֲדוֹן הַנִּפְלָאוֹת: הַמְ֒חַדֵּשׁ בְּטוּבוֹ בְּכָל־יוֹם תָּמִיד מַעֲשֵׂה בְרֵאשִׁית: כָּאָמוּר לְעֹשֵׂה אוֹרִים גְּדֹלִים כִּי לְעוֹלָם חַסְדּֽוֹ: אוֹר חָדָשׁ עַל־צִיּוֹן תָּאִיר וְנִזְכֶּה כֻלָּֽנוּ מְהֵרָה לְאוֹרוֹ: בָּרוּךְ אַתָּה יְהֹוָה יוֹצֵר הַמְּ֒אוֹרוֹת:</t>
        </is>
      </c>
      <c r="F191" s="10" t="inlineStr"/>
      <c r="G191" s="14" t="inlineStr">
        <is>
          <t>Siddur Ashkenaz, Weekday, Shacharit, Blessings of the Shema, First Blessing before Shema</t>
        </is>
      </c>
      <c r="H191" s="12" t="inlineStr">
        <is>
          <t>The Metsudah siddur, 1981 — CC-BY</t>
        </is>
      </c>
      <c r="I191" s="12" t="inlineStr">
        <is>
          <t>sefaria-siddur-ashkenaz-weekday-shacharit-blessings-of-the-shema-first-blessing-before-shema</t>
        </is>
      </c>
    </row>
    <row r="192" ht="233" customHeight="1">
      <c r="A192" s="7">
        <f>IF(LEN(TRIM(F192))=0,"Approved","Comment to address")</f>
        <v/>
      </c>
      <c r="B192" s="8" t="inlineStr">
        <is>
          <t>Second Blessing before Shema</t>
        </is>
      </c>
      <c r="C192" s="8" t="inlineStr">
        <is>
          <t>daily</t>
        </is>
      </c>
      <c r="D192" s="8" t="inlineStr">
        <is>
          <t>Ashkenaz</t>
        </is>
      </c>
      <c r="E192" s="9" t="inlineStr">
        <is>
          <t>אַהֲבָה רַבָּה אֲהַבְתָּֽנוּ יְהֹוָה אֱלֹהֵֽינוּ חֶמְלָה גְדוֹלָה וִיתֵרָה חָמַֽלְתָּ עָלֵֽינוּ: אָבִֽינוּ מַלְכֵּֽנוּ בַּעֲבוּר אֲבוֹתֵֽינוּ שֶׁבָּטְ֒חוּ בְךָ וַתְּ֒לַמְּ֒דֵם חֻקֵּי חַיִּים כֵּן תְּחָנֵּֽנוּ וּתְלַמְּ֒דֵֽנוּ: אָבִֽינוּ הָאָב הָרַחֲמָן הַמְ֒רַחֵם רַחֵם עָלֵֽינוּ וְתֵן בְּלִבֵּֽנוּ לְהָבִין וּלְהַשְׂכִּיל לִשְׁמֹֽעַ לִלְמֹד וּלְ֒לַמֵּד לִשְׁמֹר וְלַעֲשׂוֹת וּלְקַיֵּם אֶת־כָּל־דִּבְרֵי תַלְמוּד תּוֹרָתֶֽךָ בְּאַהֲבָה: וְהָאֵר עֵינֵֽינוּ בְּתוֹרָתֶֽךָ וְדַבֵּק לִבֵּֽנוּ בְּמִצְוֹתֶֽיךָ וְיַחֵד לְבָבֵֽנוּ לְאַהֲבָה וּלְיִרְאָה אֶת־שְׁמֶֽךָ: וְלֹא נֵבוֹשׁ לְעוֹלָם וָעֶד כִּי בְשֵׁם קָדְשְׁ֒ךָ הַגָּדוֹל וְהַנּוֹרָא בָּטָֽחְנוּ נָגִֽילָה וְנִשְׂמְ֒חָה בִּישׁוּעָתֶֽךָ: וַהֲבִיאֵֽנוּ לְשָׁלוֹם מֵאַרְבַּע כַּנְפוֹת הָאָֽרֶץ וְתוֹלִיכֵֽנוּ קוֹמְ֒מִיּוּת לְאַרְצֵֽנוּ: כִּי אֵל פּוֹעֵל יְשׁוּעוֹת אָֽתָּה וּבָֽנוּ בָחַֽרְתָּ מִכָּל־עַם וְלָשׁוֹן. וְקֵרַבְתָּֽנוּ לְשִׁמְךָ הַגָּדוֹל סֶֽלָה בֶּאֱמֶת לְהוֹדוֹת לְךָ וּלְיַחֶדְךָ בְּאַהֲבָה: בָּרוּךְ אַתָּה יְהֹוָה הַבּוֹחֵר בְּעַמּוֹ יִשְׂרָאֵל בְּאַהֲבָה:</t>
        </is>
      </c>
      <c r="F192" s="10" t="inlineStr"/>
      <c r="G192" s="11" t="inlineStr">
        <is>
          <t>Siddur Ashkenaz, Weekday, Shacharit, Blessings of the Shema, Second Blessing before Shema</t>
        </is>
      </c>
      <c r="H192" s="8" t="inlineStr">
        <is>
          <t>The Metsudah siddur, 1981 — CC-BY</t>
        </is>
      </c>
      <c r="I192" s="8" t="inlineStr">
        <is>
          <t>sefaria-siddur-ashkenaz-weekday-shacharit-blessings-of-the-shema-second-blessing-before-shema</t>
        </is>
      </c>
    </row>
    <row r="193" ht="409" customHeight="1">
      <c r="A193" s="7">
        <f>IF(LEN(TRIM(F193))=0,"Approved","Comment to address")</f>
        <v/>
      </c>
      <c r="B193" s="12" t="inlineStr">
        <is>
          <t>Blessing after Shema</t>
        </is>
      </c>
      <c r="C193" s="12" t="inlineStr">
        <is>
          <t>daily</t>
        </is>
      </c>
      <c r="D193" s="12" t="inlineStr">
        <is>
          <t>Ashkenaz</t>
        </is>
      </c>
      <c r="E193" s="13" t="inlineStr">
        <is>
          <t>כל שלא אמר אמת ויציב שחרית ואמת ואמונה ערבית לא יצא ידי חובתו שנאמר (תהלים צב ג) להגיד בבקר חסדך ואמונתך בלילות (ברכות יא:) ופירש"י שברכת אמת ויציב כלה על חסד שעשה עם אבותינו שהוציאם ממצרים ובקע להם הים והעבירם.
וְיַצִּיב וְנָכוֹן וְקַיָּם וְיָשָׁר וְנֶאֱמָן וְאָהוּב וְחָבִיב וְנֶחְמָד וְנָעִים וְנוֹרָא וְאַדִּיר וּמְתֻקָּן וּמְקֻבָּל וְטוֹב וְיָפֶה הַדָּבָר הַזֶּה עָלֵֽינוּ לְעוֹלָם וָעֶד: אֱמֶת אֱלֹהֵי עוֹלָם מַלְכֵּֽנוּ צוּר יַעֲקֹב מָגֵן יִשְׁעֵֽנוּ, לְדֹר וָדֹר הוּא קַיָּם וּשְׁמוֹ קַיָּם וְכִסְאוֹ נָכוֹן וּמַלְכוּתוֹ וֶאֱמוּנָתוֹ לָעַד קַיָּֽמֶת: וּדְבָרָיו חָיִים וְקַיָּמִים נֶאֱמָנִים וְנֶחֱמָדִים לָעַד וּלְעוֹלְ֒מֵי עוֹלָמִים, עַל אֲבוֹתֵֽינוּ וְעָלֵֽינוּ עַל בָּנֵֽינוּ וְעַל דּוֹרוֹתֵֽינוּ וְעַל כָּל דּוֹרוֹת זֶֽרַע יִשְׂרָאֵל עֲבָדֶֽיךָ:
עַל־הָרִאשׁוֹנִים וְעַל־הָאַחֲרוֹנִים דָּבָר טוֹב וְקַיָּם לְעוֹלָם וָעֶד אֱמֶת וֶאֱמוּנָה חֹק וְלֹא יַעֲבֹר: אֱמֶת שָׁאַתָּה הוּא יְהֹוָה אֱלֹהֵֽינוּ וֵאלֹהֵי אֲבוֹתֵֽינוּ. מַלְכֵּֽנוּ מֶֽלֶךְ אֲבוֹתֵֽינוּ. גּוֹאֲלֵֽנוּ גּוֹאֵל אֲבוֹתֵֽינוּ. יוֹצְ֒רֵֽנוּ צוּר יְשׁוּעָתֵֽנוּ. פּוֹדֵֽנוּ וּמַצִּילֵֽנוּ מֵעוֹלָם שְׁמֶֽךָ. אֵין אֱלֹהִים זוּלָתֶֽךָ:
עֶזְרַת אֲבוֹתֵֽינוּ אַתָּה הוּא מֵעוֹלָם מָגֵן וּמוֹשִֽׁיעַ לִבְנֵיהֶם אַחֲרֵיהֶם בְּכָל־דּוֹר וָדוֹר: בְּרוּם עוֹלָם מוֹשָׁבֶֽךָ וּמִשְׁפָּטֶֽיךָ וְצִדְקָתְ֒ךָ עַד־אַפְסֵי־אָֽרֶץ: אַשְׁרֵי אִישׁ שֶׁיִּשְׁמַע לְמִצְוֹתֶֽיךָ וְתוֹרָתְ֒ךָ וּדְבָרְ֒ךָ יָשִׂים עַל־לִבּוֹ: אֱמֶת אַתָּה הוּא אָדוֹן לְעַמֶּֽךָ וּמֶֽלֶךְ גִּבּוֹר לָרִיב רִיבָם: אֱמֶת אַתָּה הוּא רִאשׁוֹן וְאַתָּה הוּא אַחֲרוֹן וּמִבַּלְעָדֶֽיךָ אֵין לָֽנוּ מֶֽלֶךְ גּוֹאֵל וּמוֹשִֽׁיעַ: מִמִּצְרַֽיִם גְּאַלְתָּֽנוּ יְהֹוָה אֱלֹהֵֽינוּ וּמִבֵּית עֲבָדִים פְּדִיתָֽנוּ: כָּל־בְּכוֹרֵיהֶם הָרָֽגְתָּ וּבְכוֹרְ֒ךָ גָּאָֽלְתָּ וְיַם־סוּף בָּקַֽעְתָּ וְזֵדִים טִבַּֽעְתָּ וִידִידִים הֶעֱבַֽרְתָּ וַיְכַסּוּ־מַיִם צָרֵיהֶם אֶחָד מֵהֶם לֹא נוֹתָֽר: עַל־זֹאת שִׁבְּ֒חוּ אֲהוּבִים וְרוֹמְ֒מוּ אֵל וְנָתְ֒נוּ יְדִידִים זְמִירוֹת שִׁירוֹת וְתִשְׁבָּחוֹת בְּרָכוֹת וְהוֹדָאוֹת לְמֶֽלֶךְ אֵל חַי וְקַיָּם: רָם וְנִשָּׂא גָּדוֹל וְנוֹרָא מַשְׁפִּיל גֵּאִים וּמַגְבִּֽיהַּ שְׁפָלִים מוֹצִיא אֲסִירִים וּפוֹדֶה עֲנָוִים וְעוֹזֵר דַּלִּים וְעוֹנֶה לְעַמּוֹ בְּעֵת שַׁוְּ֒עָם אֵלָיו:
תְּהִלּוֹת לְאֵל עֶלְיוֹן בָּרוּךְ הוּא וּמְבֹרָךְ. מֹשֶׁה וּבְנֵי יִשְׂרָאֵל לְךָ עָנוּ שִׁירָה בְּשִׂמְחָה רַבָּה וְאָמְ֒רוּ כֻלָּם:
מִי כָמֹֽכָה בָּאֵלִם יְהֹוָה מִי כָּמֹֽכָה נֶאְדָּר בַּקֹּֽדֶשׁ נוֹרָא תְהִלֹּת עֹֽשֵׂה פֶֽלֶא:
שִׁירָה חֲדָשָׁה שִׁבְּ֒חוּ גְאוּלִים לְשִׁמְךָ עַל־שְׂפַת הַיָּם יַֽחַד כֻּלָּם הוֹדוּ וְהִמְלִֽיכוּ וְאָמְ֒רוּ:
יְהֹוָה יִמְלֹךְ לְעוֹלָם וָעֶד:
צוּר יִשְׂרָאֵל קֽוּמָה בְּעֶזְרַת יִשְׂרָאֵל וּפְדֵה כִנְאֻמֶֽךָ יְהוּדָה וְיִשְׂרָאֵל, גֹּאֲלֵֽנוּ יְהֹוָה צְבָאוֹת שְׁמוֹ קְדוֹשׁ יִשְׂרָאֵל: בָּרוּךְ אַתָּה יְהֹוָה גָּאַל יִשְׂרָאֵל:</t>
        </is>
      </c>
      <c r="F193" s="10" t="inlineStr"/>
      <c r="G193" s="14" t="inlineStr">
        <is>
          <t>Siddur Ashkenaz, Weekday, Shacharit, Blessings of the Shema, Blessing after Shema</t>
        </is>
      </c>
      <c r="H193" s="12" t="inlineStr">
        <is>
          <t>The Metsudah siddur, 1981 — CC-BY</t>
        </is>
      </c>
      <c r="I193" s="12" t="inlineStr">
        <is>
          <t>sefaria-siddur-ashkenaz-weekday-shacharit-blessings-of-the-shema-blessing-after-shema</t>
        </is>
      </c>
    </row>
    <row r="194" ht="318" customHeight="1">
      <c r="A194" s="7">
        <f>IF(LEN(TRIM(F194))=0,"Approved","Comment to address")</f>
        <v/>
      </c>
      <c r="B194" s="8" t="inlineStr">
        <is>
          <t>Kedushah</t>
        </is>
      </c>
      <c r="C194" s="8" t="inlineStr">
        <is>
          <t>daily</t>
        </is>
      </c>
      <c r="D194" s="8" t="inlineStr">
        <is>
          <t>Ashkenaz</t>
        </is>
      </c>
      <c r="E194" s="9" t="inlineStr">
        <is>
          <t>קהל וחזן:
נְקַדֵּשׁ אֶת־שִׁמְךָ בָּעוֹלָם כְּשֵׁם שֶׁמַּקְדִּישִׁים אוֹתוֹ בִּשְׁמֵי מָרוֹם. כַּכָּתוּב עַל־יַד נְבִיאֶֽךָ וְקָרָא זֶה אֶל־זֶה וְאָמַר:
קהל וחזן:
קָדוֹשׁ קָדוֹשׁ קָדוֹשׁ יְהֹוָה צְבָאוֹת מְלֹא כָל הָאָֽרֶץ כְּבוֹדוֹ:
שליח ציבור:
לְעֻמָּתָם בָּרוּךְ יֹאמֵֽרוּ:
קהל וחזן:
בָּרוּךְ כְּבוֹד־יְהֹוָה מִמְּ֒קוֹמוֹ:
שליח ציבור:
וּבְדִבְרֵי קָדְשְׁךָ כָּתוּב לֵאמֹר:
קהל וחזן:
יִמְלֹךְ יְהֹוָה לְעוֹלָם אֱלֹהַֽיִךְ צִיּוֹן לְדֹר וָדֹר הַלְ֒לוּיָהּ:
שליח ציבור:
לְדוֹר וָדוֹר נַגִּיד גָּדְלֶֽךָ וּלְנֵֽצַח נְצָחִים קְדֻשָּׁתְךָ נַקְדִּישׁ וְשִׁבְחֲךָ אֱלֹהֵֽינוּ מִפִּֽינוּ לֹא יָמוּשׁ לְעוֹלָם וָעֶד כִּי אֵל מֶֽלֶךְ גָּדוֹל וְקָדוֹשׁ אָֽתָּה: בָּרוּךְ אַתָּה יְהֹוָה הָאֵל הַקָּדוֹשׁ: בעשי"ת מסיים: בָּרוּךְ אַתָּה יְהֹוָה הַמֶּֽלֶךְ הַקָּדוֹשׁ:</t>
        </is>
      </c>
      <c r="F194" s="10" t="inlineStr"/>
      <c r="G194" s="11" t="inlineStr">
        <is>
          <t>Siddur Ashkenaz, Weekday, Shacharit, Amidah, Kedushah</t>
        </is>
      </c>
      <c r="H194" s="8" t="inlineStr">
        <is>
          <t>The Metsudah siddur, 1981 — CC-BY</t>
        </is>
      </c>
      <c r="I194" s="8" t="inlineStr">
        <is>
          <t>sefaria-siddur-ashkenaz-weekday-shacharit-amidah-kedushah</t>
        </is>
      </c>
    </row>
    <row r="195" ht="46" customHeight="1">
      <c r="A195" s="7">
        <f>IF(LEN(TRIM(F195))=0,"Approved","Comment to address")</f>
        <v/>
      </c>
      <c r="B195" s="12" t="inlineStr">
        <is>
          <t>Knowledge</t>
        </is>
      </c>
      <c r="C195" s="12" t="inlineStr">
        <is>
          <t>daily</t>
        </is>
      </c>
      <c r="D195" s="12" t="inlineStr">
        <is>
          <t>Ashkenaz</t>
        </is>
      </c>
      <c r="E195" s="13" t="inlineStr">
        <is>
          <t>אַתָּה חוֹנֵן לְאָדָם דַּֽעַת וּמְלַמֵּד לֶאֱנוֹשׁ בִּינָה: חָנֵּֽנוּ מֵאִתְּ֒ךָ דֵּעָה בִּינָה וְהַשְׂכֵּל: בָּרוּךְ אַתָּה יְהֹוָה חוֹנֵן הַדָּֽעַת:</t>
        </is>
      </c>
      <c r="F195" s="10" t="inlineStr"/>
      <c r="G195" s="14" t="inlineStr">
        <is>
          <t>Siddur Ashkenaz, Weekday, Shacharit, Amidah, Knowledge</t>
        </is>
      </c>
      <c r="H195" s="12" t="inlineStr">
        <is>
          <t>The Metsudah siddur, 1981 — CC-BY</t>
        </is>
      </c>
      <c r="I195" s="12" t="inlineStr">
        <is>
          <t>sefaria-siddur-ashkenaz-weekday-shacharit-amidah-knowledge</t>
        </is>
      </c>
    </row>
    <row r="196" ht="63" customHeight="1">
      <c r="A196" s="7">
        <f>IF(LEN(TRIM(F196))=0,"Approved","Comment to address")</f>
        <v/>
      </c>
      <c r="B196" s="8" t="inlineStr">
        <is>
          <t>Repentance</t>
        </is>
      </c>
      <c r="C196" s="8" t="inlineStr">
        <is>
          <t>repentance</t>
        </is>
      </c>
      <c r="D196" s="8" t="inlineStr">
        <is>
          <t>Ashkenaz</t>
        </is>
      </c>
      <c r="E196" s="9" t="inlineStr">
        <is>
          <t>הֲשִׁיבֵֽנוּ אָבִֽינוּ לְתוֹרָתֶֽךָ וְקָרְ֒בֵֽנוּ מַלְכֵּֽנוּ לַעֲבוֹדָתֶֽךָ וְהַחֲזִירֵֽנוּ בִּתְשׁוּבָה שְׁלֵמָה לְפָנֶֽיךָ: בָּרוּךְ אַתָּה יְהֹוָה הָרוֹצֶה בִּתְשׁוּבָה:</t>
        </is>
      </c>
      <c r="F196" s="10" t="inlineStr"/>
      <c r="G196" s="11" t="inlineStr">
        <is>
          <t>Siddur Ashkenaz, Weekday, Shacharit, Amidah, Repentance</t>
        </is>
      </c>
      <c r="H196" s="8" t="inlineStr">
        <is>
          <t>The Metsudah siddur, 1981 — CC-BY</t>
        </is>
      </c>
      <c r="I196" s="8" t="inlineStr">
        <is>
          <t>sefaria-siddur-ashkenaz-weekday-shacharit-amidah-repentance</t>
        </is>
      </c>
    </row>
    <row r="197" ht="63" customHeight="1">
      <c r="A197" s="7">
        <f>IF(LEN(TRIM(F197))=0,"Approved","Comment to address")</f>
        <v/>
      </c>
      <c r="B197" s="12" t="inlineStr">
        <is>
          <t>Forgiveness</t>
        </is>
      </c>
      <c r="C197" s="12" t="inlineStr">
        <is>
          <t>repentance</t>
        </is>
      </c>
      <c r="D197" s="12" t="inlineStr">
        <is>
          <t>Ashkenaz</t>
        </is>
      </c>
      <c r="E197" s="13" t="inlineStr">
        <is>
          <t>סְלַח לָֽנוּ אָבִֽינוּ כִּי חָטָֽאנוּ מְחַל לָֽנוּ מַלְכֵּֽנוּ כִּי פָשָֽׁעְנוּ כִּי מוֹחֵל וְסוֹלֵֽחַ אָֽתָּה: בָּרוּךְ אַתָּה יְהֹוָה חַנּוּן הַמַּרְבֶּה לִסְלֽוֹחַ:</t>
        </is>
      </c>
      <c r="F197" s="10" t="inlineStr"/>
      <c r="G197" s="14" t="inlineStr">
        <is>
          <t>Siddur Ashkenaz, Weekday, Shacharit, Amidah, Forgiveness</t>
        </is>
      </c>
      <c r="H197" s="12" t="inlineStr">
        <is>
          <t>The Metsudah siddur, 1981 — CC-BY</t>
        </is>
      </c>
      <c r="I197" s="12" t="inlineStr">
        <is>
          <t>sefaria-siddur-ashkenaz-weekday-shacharit-amidah-forgiveness</t>
        </is>
      </c>
    </row>
    <row r="198" ht="165" customHeight="1">
      <c r="A198" s="7">
        <f>IF(LEN(TRIM(F198))=0,"Approved","Comment to address")</f>
        <v/>
      </c>
      <c r="B198" s="8" t="inlineStr">
        <is>
          <t>Healing</t>
        </is>
      </c>
      <c r="C198" s="8" t="inlineStr">
        <is>
          <t>health</t>
        </is>
      </c>
      <c r="D198" s="8" t="inlineStr">
        <is>
          <t>Ashkenaz</t>
        </is>
      </c>
      <c r="E198" s="9" t="inlineStr">
        <is>
          <t>רְפָאֵֽנוּ יְהֹוָה וְנֵרָפֵא הוֹשִׁיעֵֽנוּ וְנִוָּשֵֽׁעָה כִּי תְהִלָּתֵֽנוּ אָֽתָּה וְהַעֲלֵה רְפוּאָה שְׁלֵמָה לְכָל מַכּוֹתֵֽינוּ
מי שרוצה להתפלל על החולה יאמר כאן תחנה זו:
יְהִי רָצוֹן מִלְּ֒פָנֶֽיךָ יְהֹוָה אֱלֹהֵֽינוּ וֵאלֹהֵי אֲבוֹתֵֽינוּ שֶׁתִּשְׁלַח מְהֵרָה רְפוּאָה שְׁלֵמָה מִן הַשָּׁמַֽיִם, רְפוּאַת הַנֶּֽפֶשׁ וּרְפוּאַת הַגּוּף, לַחוֹלֶה (פלוני/פלונית) בֶּן/בַּת (פלונית) בְּתוֹךְ שְׁאָר חוֹלֵי יִשְׂרָאֵל:
כִּי אֵל מֶֽלֶךְ רוֹפֵא נֶאֱמָן וְרַחֲמָן אָֽתָּה: בָּרוּךְ אַתָּה יְהֹוָה רוֹפֵא חוֹלֵי עַמּוֹ יִשְׂרָאֵל:</t>
        </is>
      </c>
      <c r="F198" s="10" t="inlineStr"/>
      <c r="G198" s="11" t="inlineStr">
        <is>
          <t>Siddur Ashkenaz, Weekday, Shacharit, Amidah, Healing</t>
        </is>
      </c>
      <c r="H198" s="8" t="inlineStr">
        <is>
          <t>The Metsudah siddur, 1981 — CC-BY</t>
        </is>
      </c>
      <c r="I198" s="8" t="inlineStr">
        <is>
          <t>sefaria-siddur-ashkenaz-weekday-shacharit-amidah-healing</t>
        </is>
      </c>
    </row>
    <row r="199" ht="63" customHeight="1">
      <c r="A199" s="7">
        <f>IF(LEN(TRIM(F199))=0,"Approved","Comment to address")</f>
        <v/>
      </c>
      <c r="B199" s="12" t="inlineStr">
        <is>
          <t>Gathering the Exiles</t>
        </is>
      </c>
      <c r="C199" s="12" t="inlineStr">
        <is>
          <t>daily</t>
        </is>
      </c>
      <c r="D199" s="12" t="inlineStr">
        <is>
          <t>Ashkenaz</t>
        </is>
      </c>
      <c r="E199" s="13" t="inlineStr">
        <is>
          <t>תְּקַע בְּשׁוֹפָר גָּדוֹל לְחֵרוּתֵֽנוּ וְשָׂא נֵס לְקַבֵּץ גָּלֻיּוֹתֵֽינוּ וְקַבְּ֒צֵֽנוּ יַֽחַד מֵאַרְבַּע כַּנְפוֹת הָאָֽרֶץ: בָּרוּךְ אַתָּה יְהֹוָה מְקַבֵּץ נִדְחֵי עַמּוֹ יִשְׂרָאֵל:</t>
        </is>
      </c>
      <c r="F199" s="10" t="inlineStr"/>
      <c r="G199" s="14" t="inlineStr">
        <is>
          <t>Siddur Ashkenaz, Weekday, Shacharit, Amidah, Gathering the Exiles</t>
        </is>
      </c>
      <c r="H199" s="12" t="inlineStr">
        <is>
          <t>The Metsudah siddur, 1981 — CC-BY</t>
        </is>
      </c>
      <c r="I199" s="12" t="inlineStr">
        <is>
          <t>sefaria-siddur-ashkenaz-weekday-shacharit-amidah-gathering-the-exiles</t>
        </is>
      </c>
    </row>
    <row r="200" ht="80" customHeight="1">
      <c r="A200" s="7">
        <f>IF(LEN(TRIM(F200))=0,"Approved","Comment to address")</f>
        <v/>
      </c>
      <c r="B200" s="8" t="inlineStr">
        <is>
          <t>Against Enemies</t>
        </is>
      </c>
      <c r="C200" s="8" t="inlineStr">
        <is>
          <t>daily</t>
        </is>
      </c>
      <c r="D200" s="8" t="inlineStr">
        <is>
          <t>Ashkenaz</t>
        </is>
      </c>
      <c r="E200" s="9" t="inlineStr">
        <is>
          <t>וְלַמַּלְשִׁינִים אַל תְּהִי תִקְוָה וְכָל הָרִשְׁעָה כְּרֶֽגַע תֹּאבֵד וְכָל אֹיְבֶֽיךָ מְהֵרָה יִכָּרֵֽתוּ וְהַזֵּדִים מְהֵרָה תְעַקֵּר וּתְשַׁבֵּר וּתְמַגֵּר וְתַכְנִֽיעַ בִּמְהֵרָה בְיָמֵֽינוּ: בָּרוּךְ אַתָּה יְהֹוָה שׁוֹבֵר אֹיְ֒בִים וּמַכְנִֽיעַ זֵדִים:</t>
        </is>
      </c>
      <c r="F200" s="10" t="inlineStr"/>
      <c r="G200" s="11" t="inlineStr">
        <is>
          <t>Siddur Ashkenaz, Weekday, Shacharit, Amidah, Against Enemies</t>
        </is>
      </c>
      <c r="H200" s="8" t="inlineStr">
        <is>
          <t>The Metsudah siddur, 1981 — CC-BY</t>
        </is>
      </c>
      <c r="I200" s="8" t="inlineStr">
        <is>
          <t>sefaria-siddur-ashkenaz-weekday-shacharit-amidah-against-enemies</t>
        </is>
      </c>
    </row>
    <row r="201" ht="97" customHeight="1">
      <c r="A201" s="7">
        <f>IF(LEN(TRIM(F201))=0,"Approved","Comment to address")</f>
        <v/>
      </c>
      <c r="B201" s="12" t="inlineStr">
        <is>
          <t>The Righteous</t>
        </is>
      </c>
      <c r="C201" s="12" t="inlineStr">
        <is>
          <t>daily</t>
        </is>
      </c>
      <c r="D201" s="12" t="inlineStr">
        <is>
          <t>Ashkenaz</t>
        </is>
      </c>
      <c r="E201" s="13" t="inlineStr">
        <is>
          <t>עַל־הַצַּדִּיקִים וְעַל־הַחֲסִידִים וְעַל־זִקְנֵי עַמְּ֒ךָ בֵּית יִשְׂרָאֵל וְעַל פְּלֵיטַת סוֹפְ֒רֵיהֶם וְעַל גֵּרֵי הַצֶּֽדֶק וְעָלֵֽינוּ יֶהֱמוּ רַחֲמֶֽיךָ יְהֹוָה אֱלֹהֵֽינוּ וְתֵן שָׂכָר טוֹב לְכָל הַבּוֹטְ֒חִים בְּשִׁמְךָ בֶּאֱמֶת וְשִׂים חֶלְקֵֽנוּ עִמָּהֶם לְעוֹלָם וְלֹא נֵבוֹשׁ כִּי בְךָ בָּטָֽחְנוּ: בָּרוּךְ אַתָּה יְהֹוָה מִשְׁעָן וּמִבְטָח לַצַּדִּיקִים:</t>
        </is>
      </c>
      <c r="F201" s="10" t="inlineStr"/>
      <c r="G201" s="14" t="inlineStr">
        <is>
          <t>Siddur Ashkenaz, Weekday, Shacharit, Amidah, The Righteous</t>
        </is>
      </c>
      <c r="H201" s="12" t="inlineStr">
        <is>
          <t>The Metsudah siddur, 1981 — CC-BY</t>
        </is>
      </c>
      <c r="I201" s="12" t="inlineStr">
        <is>
          <t>sefaria-siddur-ashkenaz-weekday-shacharit-amidah-the-righteous</t>
        </is>
      </c>
    </row>
    <row r="202" ht="63" customHeight="1">
      <c r="A202" s="7">
        <f>IF(LEN(TRIM(F202))=0,"Approved","Comment to address")</f>
        <v/>
      </c>
      <c r="B202" s="8" t="inlineStr">
        <is>
          <t>Rebuilding Jerusalem</t>
        </is>
      </c>
      <c r="C202" s="8" t="inlineStr">
        <is>
          <t>daily</t>
        </is>
      </c>
      <c r="D202" s="8" t="inlineStr">
        <is>
          <t>Ashkenaz</t>
        </is>
      </c>
      <c r="E202" s="9" t="inlineStr">
        <is>
          <t>וְלִירוּשָׁלַֽיִם עִירְ֒ךָ בְּרַחֲמִים תָּשׁוּב וְתִשְׁכּוֹן בְּתוֹכָהּ כַּאֲשֶׁר דִּבַּֽרְתָּ וּבְנֵה אוֹתָהּ בְּקָרוֹב בְּיָמֵֽינוּ בִּנְיַן עוֹלָם וְכִסֵּא דָוִד מְהֵרָה לְתוֹכָהּ תָּכִין: בָּרוּךְ אַתָּה יְהֹוָה בּוֹנֵה יְרוּשָׁלָֽיִם:</t>
        </is>
      </c>
      <c r="F202" s="10" t="inlineStr"/>
      <c r="G202" s="11" t="inlineStr">
        <is>
          <t>Siddur Ashkenaz, Weekday, Shacharit, Amidah, Rebuilding Jerusalem</t>
        </is>
      </c>
      <c r="H202" s="8" t="inlineStr">
        <is>
          <t>The Metsudah siddur, 1981 — CC-BY</t>
        </is>
      </c>
      <c r="I202" s="8" t="inlineStr">
        <is>
          <t>sefaria-siddur-ashkenaz-weekday-shacharit-amidah-rebuilding-jerusalem</t>
        </is>
      </c>
    </row>
    <row r="203" ht="63" customHeight="1">
      <c r="A203" s="7">
        <f>IF(LEN(TRIM(F203))=0,"Approved","Comment to address")</f>
        <v/>
      </c>
      <c r="B203" s="12" t="inlineStr">
        <is>
          <t>Kingdom of David</t>
        </is>
      </c>
      <c r="C203" s="12" t="inlineStr">
        <is>
          <t>daily</t>
        </is>
      </c>
      <c r="D203" s="12" t="inlineStr">
        <is>
          <t>Ashkenaz</t>
        </is>
      </c>
      <c r="E203" s="13" t="inlineStr">
        <is>
          <t>אֶת־צֶֽמַח דָּוִד עַבְדְּ֒ךָ מְהֵרָה תַצְמִֽיחַ וְקַרְנוֹ תָּרוּם בִּישׁוּעָתֶֽךָ כִּי לִישׁוּעָתְ֒ךָ קִוִּֽינוּ כָּל הַיּוֹם: בָּרוּךְ אַתָּה יְהֹוָה מַצְמִֽיחַ קֶֽרֶן יְשׁוּעָה:</t>
        </is>
      </c>
      <c r="F203" s="10" t="inlineStr"/>
      <c r="G203" s="14" t="inlineStr">
        <is>
          <t>Siddur Ashkenaz, Weekday, Shacharit, Amidah, Kingdom of David</t>
        </is>
      </c>
      <c r="H203" s="12" t="inlineStr">
        <is>
          <t>The Metsudah siddur, 1981 — CC-BY</t>
        </is>
      </c>
      <c r="I203" s="12" t="inlineStr">
        <is>
          <t>sefaria-siddur-ashkenaz-weekday-shacharit-amidah-kingdom-of-david</t>
        </is>
      </c>
    </row>
    <row r="204" ht="97" customHeight="1">
      <c r="A204" s="7">
        <f>IF(LEN(TRIM(F204))=0,"Approved","Comment to address")</f>
        <v/>
      </c>
      <c r="B204" s="8" t="inlineStr">
        <is>
          <t>Response to Prayer</t>
        </is>
      </c>
      <c r="C204" s="8" t="inlineStr">
        <is>
          <t>daily</t>
        </is>
      </c>
      <c r="D204" s="8" t="inlineStr">
        <is>
          <t>Ashkenaz</t>
        </is>
      </c>
      <c r="E204" s="9" t="inlineStr">
        <is>
          <t>שְׁמַע קוֹלֵֽנוּ יְהֹוָה אֱלֹהֵֽינוּ חוּס וְרַחֵם עָלֵֽינוּ וְקַבֵּל בְּרַחֲמִים וּבְרָצוֹן אֶת־תְּפִלָּתֵֽנוּ כִּי אֵל שׁוֹמֵֽעַ תְּפִלּוֹת וְתַחֲנוּנִים אָֽתָּה וּמִלְּ֒פָנֶֽיךָ מַלְכֵּֽנוּ רֵיקָם אַל־תְּשִׁיבֵֽנוּ כִּי אַתָּה שׁוֹמֵֽעַ תְּפִלַּת עַמְּ֒ךָ יִשְׂרָאֵל בְּרַחֲמִים: בָּרוּךְ אַתָּה יְהֹוָה שׁוֹמֵֽעַ תְּפִלָּה:</t>
        </is>
      </c>
      <c r="F204" s="10" t="inlineStr"/>
      <c r="G204" s="11" t="inlineStr">
        <is>
          <t>Siddur Ashkenaz, Weekday, Shacharit, Amidah, Response to Prayer</t>
        </is>
      </c>
      <c r="H204" s="8" t="inlineStr">
        <is>
          <t>The Metsudah siddur, 1981 — CC-BY</t>
        </is>
      </c>
      <c r="I204" s="8" t="inlineStr">
        <is>
          <t>sefaria-siddur-ashkenaz-weekday-shacharit-amidah-response-to-prayer</t>
        </is>
      </c>
    </row>
    <row r="205" ht="352" customHeight="1">
      <c r="A205" s="7">
        <f>IF(LEN(TRIM(F205))=0,"Approved","Comment to address")</f>
        <v/>
      </c>
      <c r="B205" s="12" t="inlineStr">
        <is>
          <t>Temple Service</t>
        </is>
      </c>
      <c r="C205" s="12" t="inlineStr">
        <is>
          <t>daily</t>
        </is>
      </c>
      <c r="D205" s="12" t="inlineStr">
        <is>
          <t>Ashkenaz</t>
        </is>
      </c>
      <c r="E205" s="13" t="inlineStr">
        <is>
          <t>רְצֵה יְהֹוָה אֱלֹהֵֽינוּ בְּעַמְּ֒ךָ יִשְׂרָאֵל וּבִתְפִלָּתָם וְהָשֵׁב אֶת הָעֲבוֹדָה לִדְבִיר בֵּיתֶֽךָ וְאִשֵּׁי יִשְׂרָאֵל וּתְפִלָּתָם בְּאַהֲבָה תְקַבֵּל בְּרָצוֹן וּתְהִי לְרָצוֹן תָּמִיד עֲבוֹדַת יִשְׂרָאֵל עַמֶּֽךָ:
בראש חדש ובחול המועד אומרים זה: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לר"ח: רֹאשׁ הַחֹֽדֶשׁ הַזֶּה: לפסח: חַג הַמַּצּוֹת הַזֶּה: לסכות: חַג הַסֻּכּוֹת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שכח ולא אמר יעלה ויבא אם נזכר קודם שאמר יהיו לרצון חוזר ומתחיל רצה. ואפלו אם נזכר קודם שהתחיל מודים כיון שסים ברכת המחזיר שכינתו לציון צריך להתחיל רצה. אך אם נזכר קודם ברכת המחזיר שכינתו לציון אומרו שם ומסים ותחזינה עינינו וכו'. ואם לא נזכר עד לאחר יהיו לרצון וגו' חוזר לראש התפלה.
וְתֶחֱזֶֽינָה עֵינֵֽינוּ בְּשׁוּבְ֒ךָ לְצִיּוֹן בְּרַחֲמִים: בָּרוּךְ אַתָּה יְהֹוָה הַמַּחֲזִיר שְׁכִינָתוֹ לְצִיּוֹן:</t>
        </is>
      </c>
      <c r="F205" s="10" t="inlineStr"/>
      <c r="G205" s="14" t="inlineStr">
        <is>
          <t>Siddur Ashkenaz, Weekday, Shacharit, Amidah, Temple Service</t>
        </is>
      </c>
      <c r="H205" s="12" t="inlineStr">
        <is>
          <t>The Metsudah siddur, 1981 — CC-BY</t>
        </is>
      </c>
      <c r="I205" s="12" t="inlineStr">
        <is>
          <t>sefaria-siddur-ashkenaz-weekday-shacharit-amidah-temple-service</t>
        </is>
      </c>
    </row>
    <row r="206" ht="182" customHeight="1">
      <c r="A206" s="7">
        <f>IF(LEN(TRIM(F206))=0,"Approved","Comment to address")</f>
        <v/>
      </c>
      <c r="B206" s="8" t="inlineStr">
        <is>
          <t>Birkat Kohanim</t>
        </is>
      </c>
      <c r="C206" s="8" t="inlineStr">
        <is>
          <t>daily</t>
        </is>
      </c>
      <c r="D206" s="8" t="inlineStr">
        <is>
          <t>Ashkenaz</t>
        </is>
      </c>
      <c r="E206" s="9" t="inlineStr">
        <is>
          <t>הטעם שתקנו לברך את ישראל בסוף כל תפלה לפי שהתפלות כנגד תמידין תקנום וכמו שבכל פעם בהשלים העבודה היו הכהנים מברכין את ישראל כמו שנאמר וישא אהרן את ידיו אל העם ויברכם וגומ' וכתיב כה תברכו את בני ישראל וגו'. (אבודרהם)
שליח ציבור:
אֱלֹהֵֽינוּ וֵאלֹהֵי אֲבוֹתֵֽינוּ בָּרְ֒כֵֽנוּ בַבְּ֒רָכָה הַמְּ֒שֻׁלֶּֽשֶׁת בַּתּוֹרָה הַכְּ֒תוּבָה עַל יְדֵי משֶׁה עַבְדֶּֽךָ, הָאֲמוּרָה מִפִּי אַהֲרֹן וּבָנָיו כֹּהֲנִים עַם קְדוֹשֶֽׁךָ כָּאָמוּר:
יְבָרֶכְ֒ךָ יְהֹוָה וְיִשְׁמְ֒רֶֽךָ:
יָאֵר יְהֹוָה פָּנָיו אֵלֶֽיךָ וִיחֻנֶּֽךָּ:
יִשָּׂא יְהֹוָה פָּנָיו אֵלֶֽיךָ וְיָשֵׂם לְךָ שָׁלוֹם:</t>
        </is>
      </c>
      <c r="F206" s="10" t="inlineStr"/>
      <c r="G206" s="11" t="inlineStr">
        <is>
          <t>Siddur Ashkenaz, Weekday, Shacharit, Amidah, Birkat Kohanim</t>
        </is>
      </c>
      <c r="H206" s="8" t="inlineStr">
        <is>
          <t>The Metsudah siddur, 1981 — CC-BY</t>
        </is>
      </c>
      <c r="I206" s="8" t="inlineStr">
        <is>
          <t>sefaria-siddur-ashkenaz-weekday-shacharit-amidah-birkat-kohanim</t>
        </is>
      </c>
    </row>
    <row r="207" ht="301" customHeight="1">
      <c r="A207" s="7">
        <f>IF(LEN(TRIM(F207))=0,"Approved","Comment to address")</f>
        <v/>
      </c>
      <c r="B207" s="12" t="inlineStr">
        <is>
          <t>Concluding Passage</t>
        </is>
      </c>
      <c r="C207" s="12" t="inlineStr">
        <is>
          <t>daily</t>
        </is>
      </c>
      <c r="D207" s="12" t="inlineStr">
        <is>
          <t>Ashkenaz</t>
        </is>
      </c>
      <c r="E207" s="13" t="inlineStr">
        <is>
          <t>יִהְיוּ לְרָצוֹן אִמְרֵי פִי וְהֶגְיוֹן לִבִּי לְפָנֶֽיךָ יְהֹוָה צוּרִי וְגוֹאֲלִי:
אֱלֹהַי נְצוֹר לְשׁוֹנִי מֵרָע וּשְׂפָתַי מִדַּבֵּר מִרְמָה. וְלִמְקַלְ֒לַי נַפְשִׁי תִדּוֹם וְנַפְשִׁי כֶּעָפָר לַכֹּל תִּהְיֶה. פְּתַח לִבִּי בְּתוֹרָתֶֽךָ וּבְמִצְוֹתֶֽיךָ תִּרְדֹּף נַפְשִׁי. וְכֹל הַחוֹשְׁ֒בִים עָלַי רָעָה מְהֵרָה הָפֵר עֲצָתָם וְקַלְקֵל מַחֲשַׁבְתָּם: עֲשֵׂה לְמַֽעַן שְׁמֶֽךָ עֲשֵׂה לְמַֽעַן יְמִינֶֽךָ עֲשֵׂה לְמַֽעַן קְדֻשָּׁתֶֽךָ עֲשֵׂה לְמַֽעַן תּוֹרָתֶֽךָ. לְמַֽעַן יֵחָלְ֒צוּן יְדִידֶֽיךָ הוֹשִֽׁיעָה יְמִינְ֒ךָ וַעֲנֵֽנִי: יִהְיוּ לְרָצוֹן אִמְרֵי פִי וְהֶגְיוֹן לִבִּי לְפָנֶֽיךָ יְהֹוָה צוּרִי וְגוֹאֲלִי:
עֹשֶׂה (בעשי"ת הַשָּׁלוֹם) שָׁלוֹם בִּמְרוֹמָיו הוּא יַעֲשֶׂה שָׁלוֹם עָלֵֽינוּ וְעַל כָּל־יִשְׂרָאֵל וְאִמְרוּ אָמֵן:
יְהִי רָצוֹן מִלְּ֒פָנֶֽיךָ יְהֹוָה אֱלֹהֵֽינוּ וֵאלֹהֵי אֲבוֹתֵֽינוּ שֶׁיִּבָּנֶה בֵּית הַמִּקְדָּשׁ בִּמְהֵרָה בְיָמֵֽינוּ וְתֵן חֶלְקֵֽנוּ בְּתוֹרָתֶֽךָ: וְשָׁם נַעֲבָדְךָ בְּיִרְאָה כִּימֵי עוֹלָם וּכְשָׁנִים קַדְמוֹנִיּוֹת: וְעָרְ֒בָה לַיהוָֹה מִנְחַת יְהוּדָה וִירוּשָׁלָֽםִ כִּימֵי עוֹלָם וּכְשָׁנִים קַדְמוֹנִיּוֹת:
בר"ח וחולו של מועד וחנוכה אומרים כאן הלל לאחר חזרת הש"ץ. בת"צ אומרים סליחות. בימים שאין אומרים בהם תחנון יאמר הש"ץ חצי קדיש.</t>
        </is>
      </c>
      <c r="F207" s="10" t="inlineStr"/>
      <c r="G207" s="14" t="inlineStr">
        <is>
          <t>Siddur Ashkenaz, Weekday, Shacharit, Amidah, Concluding Passage</t>
        </is>
      </c>
      <c r="H207" s="12" t="inlineStr">
        <is>
          <t>The Metsudah siddur, 1981 — CC-BY</t>
        </is>
      </c>
      <c r="I207" s="12" t="inlineStr">
        <is>
          <t>sefaria-siddur-ashkenaz-weekday-shacharit-amidah-concluding-passage</t>
        </is>
      </c>
    </row>
    <row r="208" ht="409" customHeight="1">
      <c r="A208" s="7">
        <f>IF(LEN(TRIM(F208))=0,"Approved","Comment to address")</f>
        <v/>
      </c>
      <c r="B208" s="8" t="inlineStr">
        <is>
          <t>Vidui and 13 Middot</t>
        </is>
      </c>
      <c r="C208" s="8" t="inlineStr">
        <is>
          <t>repentance</t>
        </is>
      </c>
      <c r="D208" s="8" t="inlineStr">
        <is>
          <t>Ashkenaz</t>
        </is>
      </c>
      <c r="E208" s="9" t="inlineStr">
        <is>
          <t>טעם נכון למה נתקן הוידוי בלשון רבים כי היה צריך לומר אשמתי בגדתי וכו'. אך העניין הוא שמלבד מה שנענש האדם על חטאיו גם הוא נענש על חברו מטעם הערבות כי כל ישראל הם גוף אחד כלול מאיברים רבים. אם כן לזה ראוי לאדם שיתוודה בלשון רבים כדי שיתוודה גם על חברו. (שער הכונות)
אֱלֺהֵֽינוּ וֵאלֺהֵי אֲבוֹתֵֽינוּ תָּבֹא לְפָנֶֽיךָ תְּפִלָּֽתֵֽנוּ, וְאַל־תִּתְעַלַּם מִתְּ֒חִנָּתֵֽנוּ שֶׁאֵין אָֽנוּ עַזֵּי פָנִים וּקְשֵׁי עֹֽרֶף לוֹמַר לְפָנֶֽיךָ יְהֹוָה אֱלֺהֵֽינוּ וֵאלֺהֵי אֲבוֹתֵֽינוּ צַדִּיקִים אֲנַֽחְנוּ וְלֺא חָטָֽאנוּ אֲבָל אֲנַֽחְנוּ וַאֲבוֹתֵֽינוּ חָטָֽאנוּ:
אָשַֽׁמְנוּ. בָּגַֽדְנוּ. גָּזַֽלְנוּ. דִּבַּֽרְנוּ דֹּֽפִי. הֶעֱוִֽינוּ. וְהִרְשַֽׁעְנוּ. זַֽדְנוּ. חָמַֽסְנוּ. טָפַֽלְנוּ שֶֽׁקֶר. יָעַֽצְנוּ רָע. כִּזַּֽבְנוּ. לַֽצְנוּ. מָרַֽדְנוּ. נִאַֽצְנוּ. סָרַֽרְנוּ. עָוִֽינוּ. פָּשַֽׁעְנוּ. צָרַֽרְנוּ. קִשִּֽׁינוּ עֹֽרֶף. רָשַֽׁעְנוּ. שִׁחַֽתְנוּ. תִּעַֽבְנוּ. תָּעִֽינוּ. תִּעְתָּֽעְנוּ:
סַֽרְנוּ מִמִּצְוֹתֶֽיךָ וּמִמִּשְׁפָּטֶֽיךָ הַטּוֹבִים וְלֺא שָֽׁוָה לָֽנוּ. וְאַתָּה צַדִּיק עַל כָּל הַבָּא עָלֵֽינוּ. כִּי אֱמֶת עָשִֽׂיתָ וַאֲנַֽחְנוּ הִרְשָֽׁעְנוּ:
אֵל אֶֽרֶךְ־אַפַּֽיִם אַתָּה. וּבַֽעַל הָרַחֲמִים נִקְרֵֽאתָ. וְדֶֽרֶךְ תְּשׁוּבָה הוֹרֵֽיתָ: גְּדֻלַּת רַחֲמֶֽיךָ וַחֲסָדֶֽיךָ. תִּזְכֺּר הַיּוֹם וּבְכָל־יוֹם לְזֶֽרַע יְדִידֶֽיךָ: תֵּֽפֶן אֵלֵֽינוּ בְּרַחֲמִים. כִּי אַתָּה הוּא בַּֽעַל הָרַחֲמִים: בְּתַחֲנוּן וּבִתְפִלָּה פָּנֶֽיךָ נְקַדֵּם. כְּהוֹדַֽעְתָּ לֶעָנָיו מִקֶּֽדֶם: מֵחֲרוֹן אַפְּ֒ךָ שׁוּב. כְּמוֹ בְּתוֹרָתְ֒ךָ כָּתוּב: וּבְצֵל כְּנָפֶֽיךָ נֶחֱסֶה וְנִתְלוֹנָן. כְּיוֹם וַיֵֽרֶד יְהֺוָה בֶּעָנָן: תַּעֲבֺר עַל־פֶּֽשַׁע וְתִמְחֶה אָשָׁם. כְּיוֹם וַַיִּתְיַצֵּב עִמּוֹ שָׁם: תַּאֲזִין שַׁוְעָתֵֽנוּ וְתַקְשִׁיב מֶֽנוּ מַאֲמַר. כְּיוֹם וַיִּקְרָא בְשֵׁם יְהֹוָה, וְשָׁם נֶאֱמַר:
קהל וש"ץ:
וַיַּעֲבֹר יְהֺוָה עַל פָּנָיו וַיִּקְרָא:
יְהֺוָה יְהֺוָה אֵל רַחוּם וְחַנּוּן אֶֽרֶךְ אַפַּֽיִם וְרַב־חֶֽסֶד וֶאֱמֶת: נֹצֵר חֶֽסֶד לָאֲלָפִים נֹשֵׂא עָוֹן וָפֶֽשַׁע וְחַטָּאָה וְנַקֵּה:
וְסָלַחְתָּ לַעֲוֺנֵֽנוּ וּלְחַטָּאתֵֽנוּ וּנְחַלְתָּֽנוּ: סְלַח־לָֽנוּ אָבִֽינוּ כִּי־חָטָֽאנוּ. מְחַל־לָֽנוּ מַלְכֵּֽנוּ כִּי־פָשָֽׁעְנוּ: כִּי־אַתָּה אֲדֺנָי טוֹב וְסַלָּח וְרַב־חֶֽסֶד לְכָל־קוֹרְ֒אֶֽיךָ:</t>
        </is>
      </c>
      <c r="F208" s="10" t="inlineStr"/>
      <c r="G208" s="11" t="inlineStr">
        <is>
          <t>Siddur Ashkenaz, Weekday, Shacharit, Post Amidah, Vidui and 13 Middot</t>
        </is>
      </c>
      <c r="H208" s="8" t="inlineStr">
        <is>
          <t>The Metsudah siddur, 1981 — CC-BY</t>
        </is>
      </c>
      <c r="I208" s="8" t="inlineStr">
        <is>
          <t>sefaria-siddur-ashkenaz-weekday-shacharit-post-amidah-vidui-and-13-middot</t>
        </is>
      </c>
    </row>
    <row r="209" ht="409" customHeight="1">
      <c r="A209" s="7">
        <f>IF(LEN(TRIM(F209))=0,"Approved","Comment to address")</f>
        <v/>
      </c>
      <c r="B209" s="12" t="inlineStr">
        <is>
          <t>For Monday and Thursday</t>
        </is>
      </c>
      <c r="C209" s="12" t="inlineStr">
        <is>
          <t>repentance</t>
        </is>
      </c>
      <c r="D209" s="12" t="inlineStr">
        <is>
          <t>Ashkenaz</t>
        </is>
      </c>
      <c r="E209" s="13" t="inlineStr">
        <is>
          <t>נוהגים להרבות בתחנונים בשני וחמישי משום דאמרינן במדרש דמרע"ה עלה בחמישי לקבל לוחות אחרונות וירד בשני. ואומרים והוא רחום. ויש במדרש דג' זקנים תקנוהו. שתפשם מלך אחד ונתנם בג' ספינות בלא מנהיג. ושלחם לים ונתפזרו למרחקים. ולמקום שבאו הציר להם מאד ועמדו בתפלה וכל אחד יסד מקצת. ובכל חלק י"ח שמות כנגד תפלת י"ח. וימת אותו מלך שהציר להם בתחלואים רעים. ושלחו תפלתם בכל תפוצות ישראל לאמרה בשני וחמישי (ע"פ מחזור מכל השנה)
וְהוּא רַחוּם יְכַפֵּר עָוֺן וְלֹא־יַשְׁחִית וְהִרְבָּה לְהָשִׁיב אַפּוֹ וְלֹא־יָעִיר כָּל־חֲמָתוֹ: אַתָּה יְהֹוָה לֺא תִכְלָא רַחֲמֶֽיךָ מִמֶּֽנּוּ חַסְדְּ֒ךָ וַאֲמִתְּ֒ךָ תָּמִיד יִצְ֒רֽוּנוּ: הוֹשִׁיעֵֽנוּ יְהֹוָה אֱלֺהֵֽינוּ וְקַבְּ֒צֵֽנוּ מִן־הַגּוֹיִם לְהוֹדוֹת לְשֵׁם קָדְשֶֽׁךָ לְהִשְׁתַּבֵּֽחַ בִּתְ֒הִלָּתֶֽךָ: אִם־עֲוֺנוֹת תִּשְׁמָר־יָהּ אֲדֹנָי מִי יַעֲמֹד: כִּי־עִמְּ֒ךָ הַסְּ֒לִיחָה לְמַֽעַן תִּוָּרֵא: לֺא כַחֲטָאֵֽינוּ תַּעֲשֶׂה־לָּֽנוּ וְלֹא כַעֲוֺנֹתֵֽינוּ תִּגְמֹל עָלֵֽינוּ: אִם־עֲוֺנֵֽינוּ עָֽנוּ בָֽנוּ יְהֹוָה עֲשֵׂה לְמַֽעַן שְׁמֶֽךָ: זְכָר־רַחֲמֶֽיךָ יְהֹוָה וַחֲסָדֶֽיךָ כִּי מֵעוֹלָם הֵֽמָּה: יַעֲנֵֽנוּ יְהֹוָה בְּיוֹם צָרָה יְשַׂגְּ֒בֵֽנוּ שֵׁם אֱלֺהֵי יַעֲקֹב: יְהֹוָה הוֹשִֽׁיעָה הַמֶּֽלֶךְ יַעֲנֵֽנוּ בְיוֹם־קָרְאֵֽנוּ: אָבִֽינוּ מַלְכֵּֽנוּ חָנֵּֽנוּ וַעֲנֵֽנוּ כִּי אֵין בָּֽנוּ מַעֲשִׂים צְדָקָה עֲשֵׂה עִמָּֽנוּ לְמַֽעַן שְׁמֶֽךָ: אֲדוֹנֵֽינוּ אֱלֺהֵֽינוּ שְׁמַע קוֹל תַּחֲנוּנֵֽינוּ וּזְכָר־לָֽנוּ אֶת־בְּרִית אֲבוֹתֵֽינוּ וְהוֹשִׁיעֵֽנוּ לְמַֽעַן שְׁמֶֽךָ: וְעַתָּה אֲדֹנָי אֱלֺהֵֽינוּ אֲשֶׁר הוֹצֵֽאתָ אֶת־עַמְּ֒ךָ מֵאֶֽרֶץ מִצְרַֽיִם בְּיָד חֲזָקָה וַתַּֽעַשׂ־לְךָ שֵׁם כַּיּוֹם הַזֶּה חָטָֽאנוּ רָשָֽׁעְנוּ: אֲדֹנָי כְּכָל־צִדְ֒קֹתֶֽיךָ יָֽשָׁב־נָא אַפְּ֒ךָ וַחֲמָתְ֒ךָ מֵעִירְ֒ךָ יְרוּשָׁלַֽםִ הַר־קָדְשֶֽׁךָ כִּי בַחֲטָאֵֽינוּ וּבַעֲוֺנוֹת אֲבֹתֵֽינוּ יְרוּשָׁלַֽםִ וְעַמְּ֒ךָ לְחֶרְפָּה לְכָל־סְבִיבֹתֵֽינוּ: וְעַתָּה שְׁמַע אֱלֺהֵֽינוּ אֶל־תְּפִלַּת עַבְדְּךָ וְאֶל־תַּחֲנוּנָיו וְהָאֵר פָּנֶֽיךָ עַל־מִקְדָּשְׁ֒ךָ הַשָּׁמֵם לְמַֽעַן אֲדֹנָי:
הַטֵּה אֱלֺהַי אָזְנְךָ וּשְׁ֒מָע פְּקַח עֵינֶֽיךָ וּרְאֵה שֹׁמְ֒מוֹתֵֽינוּ וְהָעִיר אֲשֶׁר־נִקְרָא שִׁמְךָ עָלֶֽיהָ כִּי לֺא עַל־צִדְ֒קֹתֵֽינוּ אֲנַֽחְנוּ מַפִּילִים תַּחֲנוּנֵֽינוּ לְפָנֶֽיךָ כִּי עַל־רַחֲמֶֽיךָ הָרַבִּים: אֲדֹנָי שְׁמָֽעָה אֲדֹנָי סְלָֽחָה אֲדֹנָי הַקְשִֽׁיבָה וַעֲשֵׂה אַל־תְּאַחַר: לְמַעַנְךָ אֱלֺהַי כִּי־שִׁמְךָ נִקְרָא עַל־עִירְ֒ךָ וְעַל־עַמֶּֽךָ: אָבִֽינוּ אָב הָרַחֲמָן הַרְאֵֽנוּ אוֹת לְטוֹבָה וְקַבֵּץ נְפוּצוֹתֵֽינוּ מֵאַרְבַּע כַּנְפוֹת הָאָֽרֶץ: יַכִּֽירוּ וְיֵדְ֒עוּ כָּל־הַגּוֹיִם כִּי אַתָּה יְהֹוָה אֱלֺהֵֽינוּ: וְעַתָּה יְהֹוָה אָבִֽינוּ אָֽתָּה אֲנַֽחְנוּ הַחֹֽמֶר וְאַתָּה יֹצְ֒רֵֽנוּ וּמַעֲשֵׂה יָדְ֒ךָ כֻּלָּֽנוּ: הוֹשִׁיעֵֽנוּ לְמַֽעַן שְׁמֶֽךָ צוּרֵֽנוּ מַלְכֵּֽנוּ וְגוֹאֲלֵֽנוּ: חֽוּסָה יְהֹוָה עַל־עַמֶּֽךָ וְאַל־תִּתֵּן נַחֲלָתְ֒ךָ לְחֶרְפָּה לִמְשָׁל־בָּם גּוֹיִם: לָֽמָּה יֹאמְ֒רוּ בָעַמִּים אַיֵּה אֱלֺהֵיהֶם: יָדַֽעְנוּ כִּי חָטָֽאנוּ וְאֵין מִי יַעֲמֹד בַּעֲדֵֽנוּ שִׁמְךָ הַגָּדוֹל יַעֲמָד־לָֽנוּ בְּעֵת צָרָה: יָדַֽעְנוּ כִּי אֵין בָּֽנוּ מַעֲשִׂים צְדָקָה עֲשֵׂה עִמָּֽנוּ לְמַֽעַן שְׁמֶֽךָ: כְּרַחֵם אָב עַל־בָּנִים כֵּן תְּרַחֵם יְהֹוָה עָלֵֽינוּ וְהוֹשִׁיעֵֽנוּ לְמַֽעַן שְׁמֶֽךָ: חֲמוֹל עַל עַמֶּֽךָ רַחֵם עַל נַחֲלָתֶֽךָ חֽוּסָה־נָּא כְּרוֹב רַחֲמֶֽיךָ חָנֵּֽנוּ וַעֲנֵֽנוּ כִּי לְךָ יְהֹוָה הַצְּ֒דָקָה עֹשֵׂה נִפְלָאוֹת בְּכָל עֵת:
הַבֶּט־נָא רַחֶם־נָא עַל־עַמְּךָ מְהֵרָה לְמַֽ‎עַן שְׁמֶךָ: בְּרַחֲמֶֽ‎יךָ הָרַבִּים יְהֹוָה אֱלהֵֽ‎ינוּ חוּס וְרַחֵם וְהוֹשִֽׁיעָה צֹאן מַרְעִיתֶֽךָ וְאַל־יִמְשָׁל בָּֽ‎נוּ קֶצֶף כִּי לְךָ עֵינֵֽ‎ינוּ תְלוּיות: הושִׁיעֵֽ‎נוּ לְמַֽ‎עַן שְׁמֶֽ‎ךָ רַחֵם עָלֵֽינוּ לְמַעַן בְּרִיתֶֽךָ: הַבִּֽיטָה וַעֲנֵֽ‎נוּ בְּעֵת צָרָה כִּי לְךָ יְהֹוָה הַיְשׁוּעָה: בְּךָ תוֹחַלְתֵּֽ‎נוּ אֱלֽ‎וֹהַּ סְלִיחות אָנָּא סְלַח־נָא אֵל טוֹב וְסַלָּח כִּי אֵל מֶֽ‎לֶךְ חַנּוּן וְרַחוּם אָֽתָּה:
אָנָּא מֶֽלֶךְ חַנּוּן וְרַחוּם זְכוֹר וְהַבֵּט לִבְ֒רִית בֵּין הַבְּ֒תָרִים וְתֵרָאֶה לְפָנֶֽיךָ עֲקֵדַת יָחִיד לְמַֽעַן יִשְׂרָאֵל: אָבִֽינוּ מַלְכֵּ‎ֽנוּ חָנֵּֽנוּ וַעֲנֵֽנוּ כִּי שִׁמְךָ הַגָּדוֹל נִקְרָא עָלֵֽינוּ עֹשֵׂה נִפְלָאוֹת בְּכָל־עֵת עֲשֵׂה עִמָּֽנוּ כְּחַסְדֶּֽךָ: חַנּוּן וְרַחוּם הַבִּֽיטָה וַעֲנֵֽנוּ בְּעֵת צָרָה כִּי לְךָ יְהֺוָה הַיְשׁוּעָה: אָבִֽינוּ מַלְכֵּֽנוּ מַחֲסֵֽנוּ אַל־תַּֽעַשׁ עִמָּֽנוּ כְּרֹֽעַ מַעֲלָלֵֽינוּ: זְכֹר רַחֲמֶֽיךָ יְהֺוָה וַחֲסָדֶֽיךָ וּכְרוֹב טוּבְךָ הושִׁיעֵֽנוּ וַחֲמָל־נָא עָלֵֽינוּ כִּי אֵין לָֽנוּ אֱלֽוֹהַּ אַחֵר מִבַּלְעָדֶֽיךָ צוּרֵֽנוּ: אַל תַּעַזְבֵֽנוּ יְהֺוָה אֱלֹהֵֽינוּ אַל תִּרְחַק מִמֶּֽנוּ כִּי נַפְשֵֽׁנוּ קְצָרָה מֵחֶֽרֶב וּמִשְּׁבִי וּמִדֶּֽבֶר וּמִמַּגֵּפָה וּמִכָּל־צָרָה וְיָגוֹן: הַצִּילֵֽנוּ כִּי לְךָ קִוִּֽינוּ וְאַל תַּכְלִימֵֽנוּ יְהֺוָה אֱלֹהֵֽינוּ וְהָאֵר פָּנֶֽיךָ בָּֽנוּ וּזְכָר־לָֽנוּ אֶת־בְּרִית אֲבוֹתֵֽינוּ וְהושִׁיעֵֽנוּ לְמַֽעַן שְׁמֶֽךָ: רְאֵה בְצָרוֹתֵֽינוּ וּשְׁמַע קוֹל תְּפִלָּתֵֽנוּ כִּי אַתָּה שׁוֹמֵֽע תְּפִלַּת כָּל־פֶּה:
אֵל רַחוּם וְחַנּוּן רַחֵם עָלֵֽינוּ וְעַל כָּל־מַעֲשֶֽׂיךָ כִּי אֵין כָּמֽוֹךָ יְהֺוָה אֱלֹהֵֽינוּ: אָנָּא שָׂא נָא פְשָׁעֵֽינוּ: אָבִֽינוּ מַלְכֵּֽנוּ צוּרֵֽנוּ וְגוֹאֲלֵֽנוּ אֵל חַי וְקַיָּם הַחֲסִין בַּכֹּֽחַ חָסִיד וָטוֹב עַל כָּל־מַעֲשֶֽׂיךָ כִּי אַתָּה הוּא יְהֺוָה אֱלֹהֵֽינוּ: אֵל אֶֽרֶךְ אַפַּֽיִם וּמָלֵא רַחֲמִים עֲשֵׂה עִמָּֽנוּ כְּרוֹב רַחֲמֶֽיךָ וְהוֹשִׁיעֵֽנוּ לְמַֽעַן שְׁמֶֽךָ: שְׁמַע מַלְכֵּֽנוּ תְּפִלָּתֵֽנוּ וּמִיַּד אוֹיְבֵֽינוּ הַצִּילֵֽנוּ: שְׁמַע מַלְכֵּֽנוּ תְּפִלָתֵֽנוּ וּמִכָּל־צָרָה וְיָגוֹן הַצִּילֵֽנוּ: אָבִֽינוּ מַלְכֵּֽנוּ אָֽתָּה וְשִׁמְךָ עָלֵֽינוּ נִקְרָא אַל־תַּנִּיחֵֽנוּ: אַל תַּעַזְבֵֽנוּ אָבִֽינוּ וְאַל־תִּטְּשֵֽׁנוּ בּוֹרְאֵֽנוּ וְאַל־תִּשְׁכָּחֵֽנוּ יוֹצְרֵֽנוּ כִּי אֵל מֶֽ‎לֶךְ חַנּוּן וְרַחוּם אָֽ‎תָּה:
אֵין כָּמֽוֹךָ חַנּוּן וְרַחוּם יְהֹוָה אֱלֺהֵֽינוּ אֵין כָּמֽוֹךָ אֵל אֶֽרֶךְ אַפַּֽיִם וְרַב חֶֽסֶד וֶאֱמֶת: הוֹשִׁיעֵֽנוּ בְּרַחֲמֶֽיךָ הָרַבִּים מֵרַֽעַשׁ וּמֵרֺֽגֶז הַצִּילֵֽנוּ: זְכֺר לַעֲבָדֶֽיךָ לְאַבְרָהָם לְיִצְחָק וּלְיַעֲקֹב אַל־תֵּֽפֶן אֶל־קָשְׁיֵֽנוּ וְאֶל־רִשְׁעֵֽנוּ וְאֶל־חַטָּאתֵֽנוּ: שׁוּב מֵחֲרוֹן אַפֶּֽךָ וְהִנָּחֵם עַל־הָרָעָה לְעַמֶּֽךָ וְהָסֵר מִמֶּֽנּוּ מַכַּת הַמָּֽוֶת כִּי רַחוּם אָֽתָּה כִּי כֵן דַּרְכֶּֽךָ עֹשֶׂה חֶֽסֶד חִנָּם בְּכָל־דּוֹר וָדוֹר: חֽוּסָה יְהֹוָה עַל־עַמֶּֽךָ וְהַצִּילֵֽנוּ מִזַּעְמֶֽךָ וְהָסֵר מִמֶּֽנּוּ מַכַּת הַמַּגֵּפָה וּגְזֵרָה קָשָׁה כִּי אַתָּה שׁוֹמֵר יִשְׂרָאֵל: לְךָ אֲדֹנָי הַצְּ֒דָקָה וְלָֽנוּ בּֽשֶׁת הַפָּנִים: מַה־נִּתְאוֹנֵן מַה־נֹּאמַר מַה־נְּדַבֵּר וּמַה־נִּצְטַּדָּק: נַחְפְּשָׂה דְרָכֵֽינוּ וְנַחְקֺֽרָה וְנָשֽׁוּבָה אֵלֶֽיךָ כִּי יְמִינְ֒ךָ פְשׁוּטָה לְקַבֵּל שָׁבִים: אָֽנָּא יְהֹוָה הוֹשִֽׁיעָה נָּא: אָֽנָּא יְהֹוָה הַצְלִיחָה נָא: אָֽנָּא יְהֹוָה עֲנֵֽנוּ בְיוֹם קָרְאֵֽנוּ: לְךָ יְהֹוָה חִכִּֽינוּ לְךָ יְהֹוָה קִוִּינוּ לְךָ יְהֹוָה נְיַחֵל: אַל תֶּחֱשֶׁה וּתְעַנֵּֽנוּ כִּי נָאֲמוּ גוֹיִם אָבְ֒דָה תִקְוָתָם: כָּל־בֶּֽרֶךְ וְכָל־קוֹמָה לְךָ לְבַד תִּשְׁתַּחֲוֶה:
הַפּוֹתֵֽחַ יָד בִּתְ֒שׁוּבָה לְקַבֵּל פּוֹשְׁ֒עִים וְחַטָּאִים נִבְהֲלָה נַפְשֵֽׁנוּ מֵרוֹב עִצְּ֒בוֹנֵֽנוּ אַל־תִּשְׁכָּחֵֽנוּ נֶֽצַח: קֽוּמָה וְהוֹשִׁיעֵֽנוּ כִּי חָסִֽינוּ בָךְ: אָבִֽינוּ מַלְכֵּֽנוּ אִם אֵין בָּֽנוּ צְדָקָה וּמַעֲשִׂים טוֹבִים זְכָר־לָֽנוּ אֶת־בְּרִית אֲבוֹתֵֽינוּ וְעֵדוֹתֵֽינוּ בְּכָל־יוֹם יְהֹוָה אֶחָד: הַבִּֽיטָה בְעָנְיֵֽנוּ כִּי רַבּוּ מַכְאוֹבֵֽינוּ וְצָרוֹת לְבָבֵֽנוּ: חֽוּסָה יְהֹוָה עָלֵֽינוּ בְּאֶֽרֶץ שִׁבְיֵֽנוּ ואַל־תִּשְׁפּוֹךְ חֲרוֹנְ֒ךָ עָלֵֽינוּ כִּי אֲנַֽחְנוּ עַמְּ֒ךָ בְּנֵי בְרִיתֶֽךָ: אֵל הַבִּֽיטָה דַּל כְּבוֹדֵֽנוּ בַּגּוֹיִם וְשִׁקְּ֒צֽוּנוּ כְּטֻמְאַת הַנִּדָּה: עַד מָתַי עֻזְּ֒ךָ בַּשְּׁ֒בִי וְתִפְאַרְתְּ֒ךָ בְּיַד־צָר: עוֹרְ֒רָה גְבוּרָתְ֒ךָ וְקִנְאָתְךָ עַל־אֹיְבֶֽיךָ הֵם יֵבֽשׁוּ וְיֵחַֽתּוּ מִגְבוּרָתָם וְאַל־יִמְעֲטוּ לְפָנֶֽיךָ תְּלָאוֹתֵֽינוּ: מַהֵר יְקַדְּ֒מֽוּנוּ רַחֲמֶֽיךָ בְּיוֹם צָרָתֵֽינוּ וְאִם־לֺֹא לְמַעֲנֵֽנוּ לְמַעַנְךָ פְעַל וְאַל־תַּשְׁחִית זֵֽכֶר שְׁאֵרִיתֵֽנוּ: וְחוֹן אוֹם הַמְיַחֲדִים שִׁמְךָ פַּעֲמַֽיִם בְּכָל־יוֹם תָּמִיד בְּאַהֲבָה ואוֹמְ֒רִים: שְׁמַע יִשְׂרָאֵל יְהֹוָה אֱלֺהֵֽינוּ יְהֹוָה אֶחָד:</t>
        </is>
      </c>
      <c r="F209" s="10" t="inlineStr"/>
      <c r="G209" s="14" t="inlineStr">
        <is>
          <t>Siddur Ashkenaz, Weekday, Shacharit, Post Amidah, Tachanun, For Monday and Thursday</t>
        </is>
      </c>
      <c r="H209" s="12" t="inlineStr">
        <is>
          <t>The Metsudah siddur, 1981 — CC-BY</t>
        </is>
      </c>
      <c r="I209" s="12" t="inlineStr">
        <is>
          <t>sefaria-siddur-ashkenaz-weekday-shacharit-post-amidah-tachanun-for-monday-and-thursday</t>
        </is>
      </c>
    </row>
    <row r="210" ht="216" customHeight="1">
      <c r="A210" s="7">
        <f>IF(LEN(TRIM(F210))=0,"Approved","Comment to address")</f>
        <v/>
      </c>
      <c r="B210" s="8" t="inlineStr">
        <is>
          <t>Nefilat Apayim</t>
        </is>
      </c>
      <c r="C210" s="8" t="inlineStr">
        <is>
          <t>repentance</t>
        </is>
      </c>
      <c r="D210" s="8" t="inlineStr">
        <is>
          <t>Ashkenaz</t>
        </is>
      </c>
      <c r="E210" s="9" t="inlineStr">
        <is>
          <t>וַיֹּֽאמֶר דָּוִד אֶל־גָּד צַר־לִי מְאֹד נִפְּ֒לָה־נָּא בְיַד־יְהֹוָה כִּי־רַבִּים רַחֲמָיו וּבְיַד־אָדָם אַל־אֶפֹּֽלָה:
רַחוּם וְחַנּוּן חָטָֽאתִי לְפָנֶֽיךָ יְהֹוָה מָלֵא רַחֲמִים רַחֵם עָלַי וְקַבֵּל תַּחֲנוּנָי: יְהֹוָה אַל־בְּאַפְּ֒ךָ תוֹכִיחֵֽנִי וְאַל־בַּחֲמָתְ֒ךָ תְיַסְּ֒רֵֽנִי: חָנֵּֽנִי יְהֹוָה כִּי אֻמְלַל אָֽנִי רְפָאֵֽנִי יְהֹוָה כִּי נִבְהֲלוּ עֲצָמָי: וְנַפְשִׁי נִבְהֲלָה מְאֹד וְאַתָּה יְהֹוָה עַד־מָתָי: שׁוּבָה יְהֹוָה חַלְּ֒צָה נַפְשִׁי הוֹשִׁיעֵֽנִי לְמַֽעַן חַסְדֶּֽךָ: כִּי אֵין בַּמָּֽוֶת זִכְרֶךָ בִּשְׁ֒אוֹל מִי־יוֹדֶה לָּךְ: יָגַֽעְתִּי־בְּאַנְחָתִי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t>
        </is>
      </c>
      <c r="F210" s="10" t="inlineStr"/>
      <c r="G210" s="11" t="inlineStr">
        <is>
          <t>Siddur Ashkenaz, Weekday, Shacharit, Post Amidah, Tachanun, Nefilat Apayim</t>
        </is>
      </c>
      <c r="H210" s="8" t="inlineStr">
        <is>
          <t>The Metsudah siddur, 1981 — CC-BY</t>
        </is>
      </c>
      <c r="I210" s="8" t="inlineStr">
        <is>
          <t>sefaria-siddur-ashkenaz-weekday-shacharit-post-amidah-tachanun-nefilat-apayim</t>
        </is>
      </c>
    </row>
    <row r="211" ht="409" customHeight="1">
      <c r="A211" s="7">
        <f>IF(LEN(TRIM(F211))=0,"Approved","Comment to address")</f>
        <v/>
      </c>
      <c r="B211" s="12" t="inlineStr">
        <is>
          <t>God of Israel</t>
        </is>
      </c>
      <c r="C211" s="12" t="inlineStr">
        <is>
          <t>repentance</t>
        </is>
      </c>
      <c r="D211" s="12" t="inlineStr">
        <is>
          <t>Ashkenaz</t>
        </is>
      </c>
      <c r="E211" s="13" t="inlineStr">
        <is>
          <t>יְהֹוָה אֱלֺהֵי יִשְׂרָאֵל שׁוּב מֵחֲרוֹן אַפֶּֽךָ וְהִנָּחֵם עַל־הָרָעָה לְעַמֶּֽךָ:
הַבֵּט מִשָּׁמַֽיִם וּרְאֵה כִּי הָיִֽינוּ לַֽעַג וָקֶֽלֶס בַּגּוֹיִם: נֶחְשַֽׁבְנוּ כַּצֹּאן לָטֶֽבַח יוּבָל, לַהֲרוֹג וּלְאַבֵּד וּלְמַכָּה וּלְחֶרְפָּה: וּבְכָל־זֹאת שִׁמְךָ לֺא שָׁכָֽחְנוּ נָא אַל־תִּשְׁכָּחֵֽנוּ:
יְהֹוָה אֱלֺהֵי יִשְׂרָאֵל שׁוּב מֵחֲרוֹן אַפֶּֽךָ וְהִנָּחֵם עַל־הָרָעָה לְעַמֶּֽךָ:
זָרִים אוֹמְ֒רִים אֵין תּוֹחֶֽלֶת וְתִקְוָה: חוֹן אוֹם לְשִׁמְךָ מְקַוֶּה: טָהוֹר, יְשׁוּעָתֵֽנוּ קָרְ֒בָה, יָגַֽעְנוּ וְלֺא הֽוּנַח־לָֽנוּ: רַחֲמֶֽיךָ יִכְבְּ֒שׁוּ אֶת־כַּעַסְךָ מֵעָלֵֽינוּ: אָנָּא שׁוּב מֵחֲרוֹנְ֒ךָ וְרַחֵם סְגֻלָּה אֲשֶׁר בָּחָֽרְתָּ:
יְהֹוָה אֱלֺהֵי יִשְׂרָאֵל שׁוּב מֵחֲרוֹן אַפֶּֽךָ וְהִנָּחֵם עַל־הָרָעָה לְעַמֶּֽךָ:
חֽוּסָה יְהֹוָה עָלֵֽינוּ בְּרַחֲמֶֽיךָ, וְאַל תִּתְּ֒נֵֽנוּ בִּידֵי אַכְזָרִים: לָֽמָּה יֹאמְ֒רוּ הַגּוֹיִם אַיֵּה־נָא אֱלֺהֵיהֶם לְמַעַנְךָ עֲשֵׂה עִמָּֽנוּ חֶֽסֶד וְאַל תְּאַחַר: אָנָּא שׁוּב מֵחֲרוֹנְ֒ךָ וְרַחֵם סְגֻלָּה אֲשֶׁר בָּחָֽרְתָּ:
יְהֹוָה אֱלֺהֵי יִשְׂרָאֵל שׁוּב מֵחֲרוֹן אַפֶּֽךָ וְהִנָּחֵם עַל־הָרָעָה לְעַמֶּֽךָ:
קוֹלֵֽנוּ תִשְׁמַע וְתָחוֹן וְאַל־תִּטְּ֒שֵֽׁנוּ בְּיַד אֹיְ֒בֵֽינוּ לִמְחוֹת אֶת־שְׁמֵֽנוּ: זְכוֹר אֲשֶׁר נִשְׁבַּֽעְתָּ לַאֲבוֹתֵֽינוּ, כְּכוֹכְ֒בֵי הַשָּׁמַֽיִם אַרְבֶּה אֶת־זַרְעֲכֶם וְעַתָּה נִשְׁאַֽרְנוּ מְעַט מֵהַרְבֵּה: וּבְכָל־זֹאת שִׁמְךָ לֺא שָׁכָֽחְנוּ נָא אַל תִּשְׁכָּחֵֽנוּ:
יְהֹוָה אֱלֺהֵי יִשְׂרָאֵל שׁוּב מֵחֲרוֹן אַפֶּֽךָ וְהִנָּחֵם עַל־הָרָעָה לְעַמֶּֽךָ:
עָזְ֒רֵֽנוּ אֱלֺהֵי יִשְׁעֵֽנוּ עַל־דְּבַר כְּבוֹד־שְׁמֶֽךָ וְהַצִּילֵֽנוּ וְכַפֵּר עַל־חַטֹּאתֵֽינוּ לְמַֽעַן שְׁמֶֽךָ:
יְהֹוָה אֱלֺהֵי יִשְׂרָאֵל שׁוּב מֵחֲרוֹן אַפֶּֽךָ וְהִנָּחֵם עַל־הָרָעָה לְעַמֶּֽךָ:</t>
        </is>
      </c>
      <c r="F211" s="10" t="inlineStr"/>
      <c r="G211" s="14" t="inlineStr">
        <is>
          <t>Siddur Ashkenaz, Weekday, Shacharit, Post Amidah, Tachanun, God of Israel</t>
        </is>
      </c>
      <c r="H211" s="12" t="inlineStr">
        <is>
          <t>The Metsudah siddur, 1981 — CC-BY</t>
        </is>
      </c>
      <c r="I211" s="12" t="inlineStr">
        <is>
          <t>sefaria-siddur-ashkenaz-weekday-shacharit-post-amidah-tachanun-god-of-israel</t>
        </is>
      </c>
    </row>
    <row r="212" ht="284" customHeight="1">
      <c r="A212" s="7">
        <f>IF(LEN(TRIM(F212))=0,"Approved","Comment to address")</f>
        <v/>
      </c>
      <c r="B212" s="8" t="inlineStr">
        <is>
          <t>Shomer Yisrael</t>
        </is>
      </c>
      <c r="C212" s="8" t="inlineStr">
        <is>
          <t>repentance</t>
        </is>
      </c>
      <c r="D212" s="8" t="inlineStr">
        <is>
          <t>Ashkenaz</t>
        </is>
      </c>
      <c r="E212" s="9" t="inlineStr">
        <is>
          <t>שׁוֹמֵר יִשְׂרָאֵל שְׁמוֹר שְׁאֵרִית יִשְׂרָאֵל וְאַל יֹאבַד יִשְׂרָאֵל הָאֹמְ֒רִים שְׁמַע יִשְׂרָאֵל:
שׁוֹמֵר גּוֹי אֶחָד שְׁמוֹר שְׁאֵרִית עַם אֶחָד וְאַל יֹאבַד גּוֹי אֶחָד הַמְיַחֲדִים שִׁמְךָ יְהֹוָה אֱלֺהֵֽינוּ יְהֹוָה אֶחָד:
שׁוֹמֵר גּוֹי קָדוֹשׁ שְׁמוֹר שְׁאֵרִית עַם קָדוֹשׁ וְאַל יֹאבַד גּוֹי קָדוֹשׁ הַמְשַׁלְּ֒שִׁים בְּשָׁלשׁ קְדֻשּׁוֹת לְקָדוֹשׁ:
מִתְרַצֶּה בְּרַחֲמִים וּמִתְפַּיֵּס בְּתַחֲנוּנִים הִתְרַצֶּה וְהִתְפַּיֵּס לְדוֹר עָנִי כִּי אֵין עוֹזֵר: אָבִֽינוּ מַלְכֵּֽנוּ חָנֵּֽנוּ וַעֲנֵֽנוּ כִּי אֵין בָּֽנוּ מַעֲשִׂים עֲשֵׂה עִמָּֽנוּ צְדָקָה וָחֶֽסֶד וְהוֹשִׁיעֵֽנוּ:
וַאֲנַֽחְנוּ לֺא נֵדַע מַה נַּעֲשֶׂה כִּי עָלֶֽיךָ עֵינֵֽינוּ: זְכֹר רַחֲמֶֽיךָ יְהֹוָה וַחֲסָדֶֽיךָ כִּי מֵעוֹלָם הֵֽמָּה: יְהִי חַסְדְּךָ יְהֹוָה עָלֵֽינוּ כַּאֲשֶׁר יִחַֽלְנוּ לָךְ: אַל תִּזְכָּר לָֽנוּ עֲוֹנוֹת רִאשׁוֹנִים מַהֵר יְקַדְּמֽוּנוּ רַחֲמֶֽיךָ כִּי דַלּֽוֹנוּ מְאֹד: חָנֵּֽנוּ יְהֹוָה חָנֵּֽנוּ כִּי־רַב שָׂבַֽעְנוּ בוּז: בְּרֺֽגֶז רַחֵם תִּזְכּוֹר: כִּי הוּא יָדַע יִצְרֵֽנוּ זָכוּר כִּי עָפָר אֲנָֽחְנוּ: עָזְרֵֽנוּ אֱלֺהֵי יִשְׁעֵֽנוּ עַל־דְּבַר כְּבוֹד־שְׁמֶֽךָ וְהַצִּילֵֽנוּ וְכַפֵּר עַל־חַטֹּאתֵֽינוּ לְמַֽעַן שְׁמֶֽךָ:</t>
        </is>
      </c>
      <c r="F212" s="10" t="inlineStr"/>
      <c r="G212" s="11" t="inlineStr">
        <is>
          <t>Siddur Ashkenaz, Weekday, Shacharit, Post Amidah, Tachanun, Shomer Yisrael</t>
        </is>
      </c>
      <c r="H212" s="8" t="inlineStr">
        <is>
          <t>The Metsudah siddur, 1981 — CC-BY</t>
        </is>
      </c>
      <c r="I212" s="8" t="inlineStr">
        <is>
          <t>sefaria-siddur-ashkenaz-weekday-shacharit-post-amidah-tachanun-shomer-yisrael</t>
        </is>
      </c>
    </row>
    <row r="213" ht="199" customHeight="1">
      <c r="A213" s="7">
        <f>IF(LEN(TRIM(F213))=0,"Approved","Comment to address")</f>
        <v/>
      </c>
      <c r="B213" s="12" t="inlineStr">
        <is>
          <t>Half Kaddish</t>
        </is>
      </c>
      <c r="C213" s="12" t="inlineStr">
        <is>
          <t>repentance</t>
        </is>
      </c>
      <c r="D213" s="12" t="inlineStr">
        <is>
          <t>Ashkenaz</t>
        </is>
      </c>
      <c r="E213" s="13" t="inlineStr">
        <is>
          <t>ש"ץ אומר חצי קדיש: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אשרי ובא לציון. כשמכריזים דבר יש להכריז קודם שיתחיל החזן אשרי (מגן אברהם סי' קלב)</t>
        </is>
      </c>
      <c r="F213" s="10" t="inlineStr"/>
      <c r="G213" s="14" t="inlineStr">
        <is>
          <t>Siddur Ashkenaz, Weekday, Shacharit, Post Amidah, Tachanun, Half Kaddish</t>
        </is>
      </c>
      <c r="H213" s="12" t="inlineStr">
        <is>
          <t>The Metsudah siddur, 1981 — CC-BY</t>
        </is>
      </c>
      <c r="I213" s="12" t="inlineStr">
        <is>
          <t>sefaria-siddur-ashkenaz-weekday-shacharit-post-amidah-tachanun-half-kaddish</t>
        </is>
      </c>
    </row>
    <row r="214" ht="114" customHeight="1">
      <c r="A214" s="7">
        <f>IF(LEN(TRIM(F214))=0,"Approved","Comment to address")</f>
        <v/>
      </c>
      <c r="B214" s="8" t="inlineStr">
        <is>
          <t>El Erech Appayim</t>
        </is>
      </c>
      <c r="C214" s="8" t="inlineStr">
        <is>
          <t>daily</t>
        </is>
      </c>
      <c r="D214" s="8" t="inlineStr">
        <is>
          <t>Ashkenaz</t>
        </is>
      </c>
      <c r="E214" s="9" t="inlineStr">
        <is>
          <t>אין אומרים אא"א לא בר"ח ולא בע"פ ולא בערב יו"כ ולא בחנוכה ולא בשני ימים של פורים קטן וגדול. ויש נוהגים שאין אומרים אותו בכל יום שאין אומרים בו תחנון. אין אומרים אא"א בבית האבל. וצריך לאומרו מעומד.
אֵל אֶֽרֶךְ אַפַּֽיִם וְרַב־חֶֽסֶד וֶאֱמֶת אַל בְּאַפְּךָ תוֹכִיחֵֽנוּ: חֽוּסָה יְהֹוָה עַל עַמֶּֽךָ וְהוֹשִׁיעֵֽנוּ מִכָּל־רָע: חָטָֽאנוּ לְךָ אָדוֹן סְלַח נָא כְּרוֹב רַחֲמֶֽיךָ אֵל:</t>
        </is>
      </c>
      <c r="F214" s="10" t="inlineStr"/>
      <c r="G214" s="11" t="inlineStr">
        <is>
          <t>Siddur Ashkenaz, Weekday, Shacharit, Torah Reading, Removing the Torah from Ark, El Erech Appayim</t>
        </is>
      </c>
      <c r="H214" s="8" t="inlineStr">
        <is>
          <t>The Metsudah siddur, 1981 — CC-BY</t>
        </is>
      </c>
      <c r="I214" s="8" t="inlineStr">
        <is>
          <t>sefaria-siddur-ashkenaz-weekday-shacharit-torah-reading-removing-the-torah-from-ark-el-erech-appayim</t>
        </is>
      </c>
    </row>
    <row r="215" ht="182" customHeight="1">
      <c r="A215" s="7">
        <f>IF(LEN(TRIM(F215))=0,"Approved","Comment to address")</f>
        <v/>
      </c>
      <c r="B215" s="12" t="inlineStr">
        <is>
          <t>Vayehi Binsoa</t>
        </is>
      </c>
      <c r="C215" s="12" t="inlineStr">
        <is>
          <t>daily</t>
        </is>
      </c>
      <c r="D215" s="12" t="inlineStr">
        <is>
          <t>Ashkenaz</t>
        </is>
      </c>
      <c r="E215" s="13" t="inlineStr">
        <is>
          <t>משה רבינו ונביאים שעמו תקנו שיהו קורין בתורה בשני וחמישי. כדי שלא ישהו ישראל שלשה ימים בלא תורה. ושני וחמישי הם ימי רצון. שבשני עלה משרע"ה לקבל לוחות אחרונים וירד בחמישי. ומתקנת עזרא שיהו קורין תלתא גברי. וכשמוציאין ס"ת צריך לנהוג בו כבוד הרבה ויביט בו משעה שמוציאין אותו מהארון עד שמניחין אותו במקומו. ולא ידבר דברים ושיחה בטילה. כי זה הוא ביזוי התורה. (דה"ח)
כשפותחין הארון הקדוש אומרים זה:
וַיְהִי בִּנְ֒סֹֽעַ הָאָרֹן וַיּֽאמֶר משֶׁה קוּמָה יְהֹוָה וְיָפֻֽצוּ אֹיְ֒בֶֽיךָ וְיָנֻֽסוּ מְשַׂנְאֶֽיךָ מִפָּנֶֽיךָ: כִּי מִצִּיּוֹן תֵּצֵא תוֹרָה וּדְבַר יְהֹוָה מִירוּשָׁלָֽםִ: בָּרוּךְ שֶׁנָּתַן תּוֹרָה לְעַמּוֹ יִשְׂרָאֵל בִּקְ֒דֻשָּׁתוֹ:</t>
        </is>
      </c>
      <c r="F215" s="10" t="inlineStr"/>
      <c r="G215" s="14" t="inlineStr">
        <is>
          <t>Siddur Ashkenaz, Weekday, Shacharit, Torah Reading, Removing the Torah from Ark, Vayehi Binsoa</t>
        </is>
      </c>
      <c r="H215" s="12" t="inlineStr">
        <is>
          <t>The Metsudah siddur, 1981 — CC-BY</t>
        </is>
      </c>
      <c r="I215" s="12" t="inlineStr">
        <is>
          <t>sefaria-siddur-ashkenaz-weekday-shacharit-torah-reading-removing-the-torah-from-ark-vayehi-binsoa</t>
        </is>
      </c>
    </row>
    <row r="216" ht="301" customHeight="1">
      <c r="A216" s="7">
        <f>IF(LEN(TRIM(F216))=0,"Approved","Comment to address")</f>
        <v/>
      </c>
      <c r="B216" s="8" t="inlineStr">
        <is>
          <t>Berich Shmei</t>
        </is>
      </c>
      <c r="C216" s="8" t="inlineStr">
        <is>
          <t>daily</t>
        </is>
      </c>
      <c r="D216" s="8" t="inlineStr">
        <is>
          <t>Ashkenaz</t>
        </is>
      </c>
      <c r="E216" s="9" t="inlineStr">
        <is>
          <t>איתא בזהר (ויקהל דף ר"ו.) אר"ש כד מפקין ס"ת בצבורא למקרי ביה מפתחי תרעי דשמיא דרחמין ומעוררין את האהבה לעילא ואיבעי ליה לבר נש למימר הכי:
בְּרִיךְ שְׁמֵהּ דְּמָרֵֽא עָלְמָֽא. בְּרִיךְ כִּתְרָךְ וְאַתְרָךְ. יְהֵא רְעוּתָךְ עִם עַמָּךְ יִשְׂרָאֵל לְעָלַם וּפֻרְקַן יְמִינָךְ אַחֲזֵי לְעַמָּךְ בְּבֵית מַקְדְּשָׁךְ וּלְאַמְטֽוּיֵי לָֽנָא מִטּוּב נְהוֹרָךְ וּלְקַבֵּל צְלוֹתָֽנָא בְּרַחֲמִין. יְהֵא רַעֲוָא קֳדָמָךְ דְּתוֹרִיךְ לָן חַיִּין בְּטִיבֽוּ וְלֶהֱוֵי אֲנָֽא פְקִידָֽא בְּגוֹ צַדִּיקַיָּֽא לְמִרְחַם עָלַי וּלְמִנְטַר יָתִי וְיַת־כָּל־דִּי־לִי וְדִי־לְעַמָּךְ יִשְׂרָאֵל. אַנְתְּ הוּא זָן לְכֹֽלָּא וּמְפַרְנֵֽס לְכֹֽלָּא. אַנְתְּ הוּא שַׁלִּיט עַל־כֹּֽלָּא אַנְתְּ הוּא דְּשַׁלִּיט עַל־מַלְכַיָּֽא וּמַלְכוּתָֽא דִּילָךְ הִיא. אֲנָֽא עַבְדָּֽא דְקֻדְשָֽׁא בְּרִיךְ הוּא דְּסָגִֽידְנָא קַמֵּהּ וּמִקַּמֵּי דִּיקַר אוֹרַיְתֵהּ בְּכָל־עִדָּן וְעִדָּן. לָא עַל־אֱנָשׁ רָחִֽיצְנָא וְלָא עַל־בַּר־אֱלָהִין סָמִֽיכְנָא. אֶלָּֽא בֵּאלָהָא דִשְׁמַיָּֽא דְּהוּא אֱלָהָא קְשׁוֹט וְאוֹרַיְתֵהּ קְשׁוֹט וּנְבִיאֽוֹהִי קְשׁוֹט וּמַסְגֵּֽא לְמֶעְבַּֽד טָבְוָן וּקְשׁוֹט. בֵּהּ אֲנָֽא רָחִיץ וְלִשְׁמֵהּ קַדִּישָֽׁא יַקִּירָֽא אֲנָֽא אֵמַֽר תֻּשְׁבְּחָן. יְהֵא רַעֲוָא קֳדָמָךְ דְּתִפְתַּח לִבָּאי בְּאוֹרַיְתָֽא וְתַשְׁלִים מִשְׁאֲלִין דְּלִבָּאי וְלִבָּא דְכָל־עַמָּךְ יִשְׂרָאֵל לְטָב וּלְחַיִּין וְלִשְׁלָם:</t>
        </is>
      </c>
      <c r="F216" s="10" t="inlineStr"/>
      <c r="G216" s="11" t="inlineStr">
        <is>
          <t>Siddur Ashkenaz, Weekday, Shacharit, Torah Reading, Removing the Torah from Ark, Berich Shmei</t>
        </is>
      </c>
      <c r="H216" s="8" t="inlineStr">
        <is>
          <t>The Metsudah siddur, 1981 — CC-BY</t>
        </is>
      </c>
      <c r="I216" s="8" t="inlineStr">
        <is>
          <t>sefaria-siddur-ashkenaz-weekday-shacharit-torah-reading-removing-the-torah-from-ark-berich-shmei</t>
        </is>
      </c>
    </row>
    <row r="217" ht="131" customHeight="1">
      <c r="A217" s="7">
        <f>IF(LEN(TRIM(F217))=0,"Approved","Comment to address")</f>
        <v/>
      </c>
      <c r="B217" s="12" t="inlineStr">
        <is>
          <t>Lekha Hashem</t>
        </is>
      </c>
      <c r="C217" s="12" t="inlineStr">
        <is>
          <t>daily</t>
        </is>
      </c>
      <c r="D217" s="12" t="inlineStr">
        <is>
          <t>Ashkenaz</t>
        </is>
      </c>
      <c r="E217" s="13" t="inlineStr">
        <is>
          <t>שליח ציבור:
גַּדְּ֒לוּ לַיהוָֹה אִתִּי וּנְרוֹמְ֒מָה שְׁמוֹ יַחְדָּו:
והקהל עונים: לְךָ יְהֹוָה הַגְּ֒דֻלָּה וְהַגְּ֒בוּרָה וְהַתִּפְאֶֽרֶת וְהַנֵּֽצַח וְהַהוֹד כִּי כֹל בַּשָּׁמַֽיִם וּבָאָֽרֶץ לְךָ יְהֹוָה הַמַּמְלָכָה וְהַמִּתְנַשֵּׂא לְכֹל לְרֹאשׁ: רוֹמְ֒מוּ יְהֹוָה אֱלֺהֵֽינוּ וְהִשְׁתַּחֲווּ לַהֲדֹם רַגְלָיו קָדוֹשׁ הוּא: רוֹמְ֒מוּ יְהֹוָה אֱלֺהֵֽינוּ וְהִשְׁתַּחֲווּ לְהַר קָדְשׁוֹ כִּי קָדוֹשׁ יְהֹוָה אֱלֺהֵֽינוּ:</t>
        </is>
      </c>
      <c r="F217" s="10" t="inlineStr"/>
      <c r="G217" s="14" t="inlineStr">
        <is>
          <t>Siddur Ashkenaz, Weekday, Shacharit, Torah Reading, Removing the Torah from Ark, Lekha Hashem</t>
        </is>
      </c>
      <c r="H217" s="12" t="inlineStr">
        <is>
          <t>The Metsudah siddur, 1981 — CC-BY</t>
        </is>
      </c>
      <c r="I217" s="12" t="inlineStr">
        <is>
          <t>sefaria-siddur-ashkenaz-weekday-shacharit-torah-reading-removing-the-torah-from-ark-lekha-hashem</t>
        </is>
      </c>
    </row>
    <row r="218" ht="80" customHeight="1">
      <c r="A218" s="7">
        <f>IF(LEN(TRIM(F218))=0,"Approved","Comment to address")</f>
        <v/>
      </c>
      <c r="B218" s="8" t="inlineStr">
        <is>
          <t>Av Harachamim</t>
        </is>
      </c>
      <c r="C218" s="8" t="inlineStr">
        <is>
          <t>daily</t>
        </is>
      </c>
      <c r="D218" s="8" t="inlineStr">
        <is>
          <t>Ashkenaz</t>
        </is>
      </c>
      <c r="E218" s="9" t="inlineStr">
        <is>
          <t>אָב הָרַחֲמִים הוּא יְרַחֵם עַם עֲמוּסִים, וְיִזְכֹּר בְּרִית אֵיתָנִים, וְיַצִּיל נַפְשׁוֹתֵֽינוּ מִן הַשָּׁעוֹת הָרָעוֹת, וְיִגְעַר בְּיֵֽצֶר הָרָע מִן הַנְּ֒שׂוּאִים, וְיָחוֹן אוֹתָֽנוּ לִפְ֒לֵטַת עוֹלָמִים, וִימַלֵּא מִשְׁאֲלוֹתֵֽינוּ בְּמִדָּה טוֹבָה יְשׁוּעָה וְרַחֲמִים:</t>
        </is>
      </c>
      <c r="F218" s="10" t="inlineStr"/>
      <c r="G218" s="11" t="inlineStr">
        <is>
          <t>Siddur Ashkenaz, Weekday, Shacharit, Torah Reading, Removing the Torah from Ark, Av Harachamim</t>
        </is>
      </c>
      <c r="H218" s="8" t="inlineStr">
        <is>
          <t>The Metsudah siddur, 1981 — CC-BY</t>
        </is>
      </c>
      <c r="I218" s="8" t="inlineStr">
        <is>
          <t>sefaria-siddur-ashkenaz-weekday-shacharit-torah-reading-removing-the-torah-from-ark-av-harachamim</t>
        </is>
      </c>
    </row>
    <row r="219" ht="148" customHeight="1">
      <c r="A219" s="7">
        <f>IF(LEN(TRIM(F219))=0,"Approved","Comment to address")</f>
        <v/>
      </c>
      <c r="B219" s="12" t="inlineStr">
        <is>
          <t>Vetigaleh Veteraeh</t>
        </is>
      </c>
      <c r="C219" s="12" t="inlineStr">
        <is>
          <t>daily</t>
        </is>
      </c>
      <c r="D219" s="12" t="inlineStr">
        <is>
          <t>Ashkenaz</t>
        </is>
      </c>
      <c r="E219" s="13" t="inlineStr">
        <is>
          <t>חזן:
וְתִגָּלֶה וְתֵרָאֶה מַלְכוּתוֹ עָלֵֽינוּ בִּזְ֒מַן קָרוֹב וְיָחוֹן פְּלֵטָתֵֽנוּ וּפְלֵטַת עַמּוֹ בֵּית יִשְׂרָאֵל לְחֵן וּלְחֶֽסֶד וּלְרַחֲמִים וּלְרָצוֹן וְנֹאמַר אָמֵן, הַכֹּל הָבוּ גֹֽדֶל לֵאלֺהֵֽינוּ וּתְנוּ כָבוֹד לַתּוֹרָה, כֹּהֵן קְרָב, יַעֲמֹד (פב"פ) הַכֹּהֵן, בָּרוּךְ שֶׁנָּתַן תּוֹרָה לְעַמּוֹ יִשְׂרָאֵל בִּקְ֒דֻשָּׁתוֹ:
והקהל עונים:
וְאַתֶּם הַדְּ֒בֵקִים בַּיהוָֹה אֱלֺהֵיכֶם חַיִּים כֻּלְּ֒כֶם הַיּוֹם:</t>
        </is>
      </c>
      <c r="F219" s="10" t="inlineStr"/>
      <c r="G219" s="14" t="inlineStr">
        <is>
          <t>Siddur Ashkenaz, Weekday, Shacharit, Torah Reading, Removing the Torah from Ark, Vetigaleh Veteraeh</t>
        </is>
      </c>
      <c r="H219" s="12" t="inlineStr">
        <is>
          <t>The Metsudah siddur, 1981 — CC-BY</t>
        </is>
      </c>
      <c r="I219" s="12" t="inlineStr">
        <is>
          <t>sefaria-siddur-ashkenaz-weekday-shacharit-torah-reading-removing-the-torah-from-ark-vetigaleh-veteraeh</t>
        </is>
      </c>
    </row>
    <row r="220" ht="216" customHeight="1">
      <c r="A220" s="7">
        <f>IF(LEN(TRIM(F220))=0,"Approved","Comment to address")</f>
        <v/>
      </c>
      <c r="B220" s="8" t="inlineStr">
        <is>
          <t>Birkat HaTorah</t>
        </is>
      </c>
      <c r="C220" s="8" t="inlineStr">
        <is>
          <t>daily</t>
        </is>
      </c>
      <c r="D220" s="8" t="inlineStr">
        <is>
          <t>Ashkenaz</t>
        </is>
      </c>
      <c r="E220" s="9" t="inlineStr">
        <is>
          <t>כשקורין אותו לתורה יאמר זה:
בָּרְ֒כוּ אֶת יְהֹוָה הַמְּ֒בֹרָךְ:
קהל ועולה:
בָּרוּךְ יְהֹוָה הַמְּ֒בֹרָךְ לְעוֹלָם וָעֶד:
ויאמר העולה:
בָּרוּךְ אַתָּה יְהֹוָה אֱלֺהֵֽינוּ מֶֽלֶךְ הָעוֹלָם אֲשֶׁר בָּֽחַר בָּֽנוּ מִכָּל הָעַמִּים וְנָֽתַן לָֽנוּ אֶת תּוֹרָתוֹ: בָּרוּךְ אַתָּה יְהֹוָה נוֹתֵן הַתּוֹרָה:
לאחר הקריאה מברך:
בָּרוּךְ אַתָּה יְהֹוָה אֱלֺהֵֽינוּ מֶֽלֶךְ הָעוֹלָם אֲשֶׁר נָֽתַן לָֽנוּ תּוֹרַת אֱמֶת וְחַיֵּי עוֹלָם נָטַע בְּתוֹכֵֽנוּ: בָּרוּךְ אַתָּה יְהֹוָה נוֹתֵן הַתּוֹרָה:</t>
        </is>
      </c>
      <c r="F220" s="10" t="inlineStr"/>
      <c r="G220" s="11" t="inlineStr">
        <is>
          <t>Siddur Ashkenaz, Weekday, Shacharit, Torah Reading, Reading from Sefer, Birkat HaTorah</t>
        </is>
      </c>
      <c r="H220" s="8" t="inlineStr">
        <is>
          <t>The Metsudah siddur, 1981 — CC-BY</t>
        </is>
      </c>
      <c r="I220" s="8" t="inlineStr">
        <is>
          <t>sefaria-siddur-ashkenaz-weekday-shacharit-torah-reading-reading-from-sefer-birkat-hatorah</t>
        </is>
      </c>
    </row>
    <row r="221" ht="165" customHeight="1">
      <c r="A221" s="7">
        <f>IF(LEN(TRIM(F221))=0,"Approved","Comment to address")</f>
        <v/>
      </c>
      <c r="B221" s="12" t="inlineStr">
        <is>
          <t>Half Kaddish</t>
        </is>
      </c>
      <c r="C221" s="12" t="inlineStr">
        <is>
          <t>daily</t>
        </is>
      </c>
      <c r="D221" s="12" t="inlineStr">
        <is>
          <t>Ashkenaz</t>
        </is>
      </c>
      <c r="E221" s="13"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t>
        </is>
      </c>
      <c r="F221" s="10" t="inlineStr"/>
      <c r="G221" s="14" t="inlineStr">
        <is>
          <t>Siddur Ashkenaz, Weekday, Shacharit, Torah Reading, Reading from Sefer, Half Kaddish</t>
        </is>
      </c>
      <c r="H221" s="12" t="inlineStr">
        <is>
          <t>The Metsudah siddur, 1981 — CC-BY</t>
        </is>
      </c>
      <c r="I221" s="12" t="inlineStr">
        <is>
          <t>sefaria-siddur-ashkenaz-weekday-shacharit-torah-reading-reading-from-sefer-half-kaddish</t>
        </is>
      </c>
    </row>
    <row r="222" ht="97" customHeight="1">
      <c r="A222" s="7">
        <f>IF(LEN(TRIM(F222))=0,"Approved","Comment to address")</f>
        <v/>
      </c>
      <c r="B222" s="8" t="inlineStr">
        <is>
          <t>Yehalelu</t>
        </is>
      </c>
      <c r="C222" s="8" t="inlineStr">
        <is>
          <t>daily</t>
        </is>
      </c>
      <c r="D222" s="8" t="inlineStr">
        <is>
          <t>Ashkenaz</t>
        </is>
      </c>
      <c r="E222" s="9" t="inlineStr">
        <is>
          <t>בשני ובחמישי ושאר ימים שמוציאין ספר תורה אומרים יהללו כשמחזירים הס"ת למקומו. ואומר החזן:
יְהַלְ֒לוּ אֶת־שֵׁם יְהֹוָה כִּי־נִשְׂגָּב שְׁמוֹ לְבַדּוֹ:
קהל: הוֹדוֹ עַל־אֶֽרֶץ וְשָׁמָֽיִם: וַיָּֽרֶם קֶֽרֶן לְעַמּוֹ תְּהִלָּה לְכָל־חֲסִידָיו לִבְנֵי יִשְׂרָאֵל עַם קְרֹבוֹ הַלְ֒לוּיָהּ:</t>
        </is>
      </c>
      <c r="F222" s="10" t="inlineStr"/>
      <c r="G222" s="11" t="inlineStr">
        <is>
          <t>Siddur Ashkenaz, Weekday, Shacharit, Torah Reading, Returning Sefer to Aron, Yehalelu</t>
        </is>
      </c>
      <c r="H222" s="8" t="inlineStr">
        <is>
          <t>The Metsudah siddur, 1981 — CC-BY</t>
        </is>
      </c>
      <c r="I222" s="8" t="inlineStr">
        <is>
          <t>sefaria-siddur-ashkenaz-weekday-shacharit-torah-reading-returning-sefer-to-aron-yehalelu</t>
        </is>
      </c>
    </row>
    <row r="223" ht="182" customHeight="1">
      <c r="A223" s="7">
        <f>IF(LEN(TRIM(F223))=0,"Approved","Comment to address")</f>
        <v/>
      </c>
      <c r="B223" s="12" t="inlineStr">
        <is>
          <t>LeDavid Mizmor</t>
        </is>
      </c>
      <c r="C223" s="12" t="inlineStr">
        <is>
          <t>daily</t>
        </is>
      </c>
      <c r="D223" s="12" t="inlineStr">
        <is>
          <t>Ashkenaz</t>
        </is>
      </c>
      <c r="E223" s="13" t="inlineStr">
        <is>
          <t>לְדָוִד מִזְמוֹר לַיהוָֹה הָאָֽרֶץ וּמְלוֹאָהּ תֵּבֵל וְיֽשְׁ֒בֵי בָהּ: כִּי הוּא עַל יַמִּים יְסָדָהּ וְעַל נְהָרוֹת יְכוֹנְ֒נֶֽהָ: מִי יַעֲלֶה בְהַר יְהֹוָה וּמִי יָקוּם בִּמְ֒קוֹם קָדְשׁוֹ: נְקִי כַפַּֽיִם וּבַר לֵבָב אֲשֶׁר לֺא נָשָׂא לַשָּׁוְא נַפְשִׁי וְלֺא נִשְׁבַּע לְמִרְמָה: יִשָּׂא בְרָכָה מֵאֵת יְהֹוָה וּצְדָקָה מֵאֱלֺהֵי יִשְׁעוֹ: זֶה דּוֹר דּוֹרְ֒שָׁיו מְבַקְשֵׁי פָנֶֽיךָ יַעֲקֹב סֶֽלָה: שְׂאוּ שְׁעָרִים רָאשֵׁיכֶם וְהִנָּשְׂ֒אוּ פִּתְ֒חֵי עוֹלָם וְיָבוֹא מֶֽלֶךְ הַכָּבוֹד: מִי זֶה מֶֽלֶךְ הַכָּבוֹד יְהֹוָה עִזּוּז וְגִבּוֹר יְהֹוָה גִּבּוֹר מִלְחָמָה: שְׂאוּ שְׁעָרִים רָאשֵׁיכֶם וּשְׂ֒אוּ פִּתְ֒חֵי עוֹלָם וְיָבוֹא מֶֽלֶךְ הַכָּבוֹד: מִי הוּא זֶה מֶֽלֶךְ הַכָּבוֹד יְהֹוָה צְבָאוֹת הוּא מֶֽלֶךְ הַכָּבוֹד סֶֽלָה:</t>
        </is>
      </c>
      <c r="F223" s="10" t="inlineStr"/>
      <c r="G223" s="14" t="inlineStr">
        <is>
          <t>Siddur Ashkenaz, Weekday, Shacharit, Torah Reading, Returning Sefer to Aron, LeDavid Mizmor</t>
        </is>
      </c>
      <c r="H223" s="12" t="inlineStr">
        <is>
          <t>The Metsudah siddur, 1981 — CC-BY</t>
        </is>
      </c>
      <c r="I223" s="12" t="inlineStr">
        <is>
          <t>sefaria-siddur-ashkenaz-weekday-shacharit-torah-reading-returning-sefer-to-aron-ledavid-mizmor</t>
        </is>
      </c>
    </row>
    <row r="224" ht="131" customHeight="1">
      <c r="A224" s="7">
        <f>IF(LEN(TRIM(F224))=0,"Approved","Comment to address")</f>
        <v/>
      </c>
      <c r="B224" s="8" t="inlineStr">
        <is>
          <t>Uvenucho Yomar</t>
        </is>
      </c>
      <c r="C224" s="8" t="inlineStr">
        <is>
          <t>daily</t>
        </is>
      </c>
      <c r="D224" s="8" t="inlineStr">
        <is>
          <t>Ashkenaz</t>
        </is>
      </c>
      <c r="E224" s="9" t="inlineStr">
        <is>
          <t>וּבְ֒נֻחֹה יֹאמַר שׁוּבָה יְהֹוָה רִבְ֒בוֹת אַלְפֵי יִשְׂרָאֵל: קוּמָה יְהֹוָה לִמְ֒נוּחָתֶֽךָ אַתָּה וַאֲרוֹן עֻזֶּֽךָ: כֹּהֲנֶֽיךָ יִלְבְּ֒שׁוּ צֶֽדֶק וַחֲסִידֶֽיךָ יְרַנֵּֽנוּ: בַּעֲבוּר דָּוִד עַבְדֶּֽךָ אַל תָּשֵׁב פְּנֵי מְשִׁיחֶֽךָ: כִּי לֶֽקַח טוֹב נָתַֽתִּי לָכֶם תּוֹרָתִי אַל תַּעֲזֹֽבוּ: עֵץ חַיִּים הִיא לַמַּחֲזִיקִים בָּהּ וְתוֹמְ֒כֶֽיהָ מְאֻשָּׁר: דְּרָכֶֽיהָ דַּרְכֵי נֹֽעַם וְכָל נְתִיבוֹתֶֽיהָ שָׁלוֹם: הֲשִׁיבֵֽנוּ יְהֹוָה אֵלֶֽיךָ וְנָשׁוּבָה חַדֵּשׁ יָמֵֽינוּ כְּקֶֽדֶם:</t>
        </is>
      </c>
      <c r="F224" s="10" t="inlineStr"/>
      <c r="G224" s="11" t="inlineStr">
        <is>
          <t>Siddur Ashkenaz, Weekday, Shacharit, Torah Reading, Returning Sefer to Aron, Uvenucho Yomar</t>
        </is>
      </c>
      <c r="H224" s="8" t="inlineStr">
        <is>
          <t>The Metsudah siddur, 1981 — CC-BY</t>
        </is>
      </c>
      <c r="I224" s="8" t="inlineStr">
        <is>
          <t>sefaria-siddur-ashkenaz-weekday-shacharit-torah-reading-returning-sefer-to-aron-uvenucho-yomar</t>
        </is>
      </c>
    </row>
    <row r="225" ht="352" customHeight="1">
      <c r="A225" s="7">
        <f>IF(LEN(TRIM(F225))=0,"Approved","Comment to address")</f>
        <v/>
      </c>
      <c r="B225" s="12" t="inlineStr">
        <is>
          <t>Ashrei</t>
        </is>
      </c>
      <c r="C225" s="12" t="inlineStr">
        <is>
          <t>daily</t>
        </is>
      </c>
      <c r="D225" s="12" t="inlineStr">
        <is>
          <t>Ashkenaz</t>
        </is>
      </c>
      <c r="E225" s="13" t="inlineStr">
        <is>
          <t>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נוֹרְ֒אוֹתֶֽיךָ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t>
        </is>
      </c>
      <c r="F225" s="10" t="inlineStr"/>
      <c r="G225" s="14" t="inlineStr">
        <is>
          <t>Siddur Ashkenaz, Weekday, Shacharit, Concluding Prayers, Ashrei</t>
        </is>
      </c>
      <c r="H225" s="12" t="inlineStr">
        <is>
          <t>The Metsudah siddur, 1981 — CC-BY</t>
        </is>
      </c>
      <c r="I225" s="12" t="inlineStr">
        <is>
          <t>sefaria-siddur-ashkenaz-weekday-shacharit-concluding-prayers-ashrei</t>
        </is>
      </c>
    </row>
    <row r="226" ht="267" customHeight="1">
      <c r="A226" s="7">
        <f>IF(LEN(TRIM(F226))=0,"Approved","Comment to address")</f>
        <v/>
      </c>
      <c r="B226" s="8" t="inlineStr">
        <is>
          <t>Lamenatze'ach</t>
        </is>
      </c>
      <c r="C226" s="8" t="inlineStr">
        <is>
          <t>daily</t>
        </is>
      </c>
      <c r="D226" s="8" t="inlineStr">
        <is>
          <t>Ashkenaz</t>
        </is>
      </c>
      <c r="E226" s="9" t="inlineStr">
        <is>
          <t>מה שתקנו לאומרו בסוף התפלה מפני שאומר במדרש תלים אמר ר' שמעון בר אבא אתה מוצא י"ח מזמורים מראש הספר ועד פסוק זה ואשרי האיש ולמה רגשו גוים חד הוא כנגד י"ח ברכות שאדם מתפלל בכל יום. אדם אומר לחבירו תתעני צלותך כך דוד המלך לאחר ששר י"ח שירות ותושבחות אמר יענך ה' ביום צרה והכי איתא בירושלמי. ובשבתות ובימים טובים אין אומרים אותו מפני שהוא מזמור של תחנה וגם הוא מתחיל יענך ה' ביום צרה ושבתות וימים טובים אינם ימי צרה אלא ימי שמחה. (אבודרהם)
לַמְנַצֵּֽחַ מִזְמוֹר לְדָוִד: יַעַנְךָ יְהֹוָה בְּיוֹם צָרָה יְשַׂגֶּבְ֒ךָ שֵׁם אֱלֺהֵי יַעֲקֹב: יִשְׁלַח עֶזְרְךָ מִקֹּֽדֶשׁ וּמִצִּיּוֹן יִסְעָדֶֽךָּ: יִזְכֹּר כָּל מִנְחֹתֶֽיךָ וְעוֹלָתְ֒ךָ יְדַשְּׁ֒נֶה סֶּֽלָה: יִתֶּן לְךָ כִלְ֒בָבֶֽךָ וְכָל עֲצָתְ֒ךָ יְמַלֵּא: נְרַנְּ֒נָה בִּישׁוּעָתֶֽךָ וּבְשֵׁם אֱלֺהֵֽינוּ נִדְגֹּל יְמַלֵּא יְהֹוָה כָּל מִשְׁאֲלוֹתֶֽיךָ: עַתָּה יָדַֽעְתִּי כִּי הוֹשִֽׁיעַ יְהֹוָה מְשִׁיחוֹ יַעֲנֵֽהוּ מִשְּׁ֒מֵי קָדְשׁוֹ בִּגְ֒בוּרוֹת יֵֽשַׁע יְמִינוֹ: אֵֽלֶּה בָרֶֽכֶב וְאֵֽלֶּה בַסּוּסִים וַאֲנַֽחְנוּ בְּשֵׁם יְהֹוָה אֱלֺהֵֽינוּ נַזְכִּיר: הֵֽמָּה כָּרְ֒עוּ וְנָפָֽלוּ וַאֲנַֽחְנוּ קַֽמְנוּ וַנִּתְעוֹדָד: יְהֹוָה הוֹשִׁיעָה הַמֶּֽלֶךְ יַעֲנֵֽנוּ בְיוֹם קָרְאֵֽנוּ:</t>
        </is>
      </c>
      <c r="F226" s="10" t="inlineStr"/>
      <c r="G226" s="11" t="inlineStr">
        <is>
          <t>Siddur Ashkenaz, Weekday, Shacharit, Concluding Prayers, Lamenatze'ach</t>
        </is>
      </c>
      <c r="H226" s="8" t="inlineStr">
        <is>
          <t>The Metsudah siddur, 1981 — CC-BY</t>
        </is>
      </c>
      <c r="I226" s="8" t="inlineStr">
        <is>
          <t>sefaria-siddur-ashkenaz-weekday-shacharit-concluding-prayers-lamenatze-ach</t>
        </is>
      </c>
    </row>
    <row r="227" ht="409" customHeight="1">
      <c r="A227" s="7">
        <f>IF(LEN(TRIM(F227))=0,"Approved","Comment to address")</f>
        <v/>
      </c>
      <c r="B227" s="12" t="inlineStr">
        <is>
          <t>Uva Letzion</t>
        </is>
      </c>
      <c r="C227" s="12" t="inlineStr">
        <is>
          <t>daily</t>
        </is>
      </c>
      <c r="D227" s="12" t="inlineStr">
        <is>
          <t>Ashkenaz</t>
        </is>
      </c>
      <c r="E227" s="13" t="inlineStr">
        <is>
          <t>מה שתקנו סדר קדושה בסוף התפלה בעבור עמי הארץ המאחרים לבא לתפלה שלא יפסידו שמיעת הקדושה. דאמרינן בשלהי סוטה אמאי קאי עלמא אסדרא דקדושה ואיהא שמיה רבה דאגדתא. ולכך תקנו לתרגם סדר קדושה זה כדי שיבינו עמי הארץ שאין מכירים לדבר בלשון הקדש אלא בלשון תרגום שהיו רגילין לדבר בו באותו זמן. (אבודרהם)
וּבָא לְצִיּוֹן גּוֹאֵל וּלְשָׁבֵי פֶֽשַׁע בְּיַעֲקֹב נְאֻם יְהֹוָה: וַאֲנִי זֹאת בְּרִיתִי אֹתָם אָמַר יְהֹוָה רוּחִי אֲשֶׁר עָלֶֽיךָ וּדְבָרַי אֲשֶׁר שַֽׂמְתִּי בְּפִֽיךָ לֺא יָמֽוּשׁוּ מִפִּֽיךָ וּמִפִּי זַרְעֲךָ וּמִפִּי זֶֽרַע זַרְעֲךָ אָמַר יְהֹוָה מֵעַתָּה וְעַד עוֹלָם:
וְאַתָּה קָדוֹשׁ יוֹשֵׁב תְּהִלּוֹת יִשְׂרָאֵל: וְקָרָא זֶה אֶל זֶה וְאָמַר: קָדוֹשׁ קָדוֹשׁ קָדוֹשׁ יְהֹוָה צְבָאוֹת מְלֺא כָל הָאָֽרֶץ כְּבוֹדוֹ:
וּמְ֒קַבְּ֒לִין דֵּין מִן דֵּין וְאָמְ֒רִין קַדִּישׁ בִּשְׁ֒מֵי מְרוֹמָא עִלָּאָה בֵּית שְׁכִינְתֵּהּ קַדִּישׁ עַל אַרְעָא עוֹבַד גְּבוּרְתֵּהּ קַדִּישׁ לְעָלַם וּלְעָלְ֒מֵי עָלְ֒מַיָּא יְהֹוָה צְבָאוֹת, מַלְיָא כָל אַרְעָא זִיו יְקָרֵהּ:
וַתִּשָּׂאֵֽנִי רֽוּחַ וָאֶשְׁמַע אַחֲרַי קוֹל רַֽעַשׁ גָּדוֹל: בָּרוּךְ כְּבוֹד יְהֹוָה מִמְּ֒קוֹמוֹ:
וּנְ֒טָלַתְנִי רוּחָא וּשְׁמָעִית בַּתְרַי קָל זִֽיעַ סַגִּיא דִּמְ֒שַׁבְּ֒חִין וְאָמְ֒רִין בְּרִיךְ יְקָרָא דַיהוָֹה מֵאֲתַר בֵּית שְׁכִינְתֵּהּ:
יְהֹוָה יִמְלֺךְ לְעוֹלָם וָעֶד:
יְהֹוָה מַלְכוּתֵהּ קָאֵים לְעָלַם וּלְעָלְ֒מֵי עָלְ֒מַיָּא:
יְהֹוָה אֱלֺהֵי אַבְרָהָם יִצְחָק וְיִשְׂרָאֵל אֲבוֹתֵֽינוּ שָׁמְ֒רָה זֹאת לְעֹלָם לְיֵֽצֶר מַחְשְׁ֒בוֹת לְבַב עַמֶּֽךָ וְהָכֵן לְבָבָם אֵלֶֽיךָ: וְהוּא רַחוּם יְכַפֵּר עָוֹן וְלֺא יַשְׁחִית וְהִרְבָּה לְהָשִׁיב אַפּוֹ וְלֺא יָעִיר כָּל חֲמָתוֹ: כִּי אַתָּה אֲדֹנָי טוֹב וְסַלָּח וְרַב חֶֽסֶד לְכָל קֹרְ֒אֶֽיךָ: צִדְ֒קָתְ֒ךָ צֶֽדֶק לְעוֹלָם וְתוֹרָתְ֒ךָ אֱמֶת: תִּתֵּן אֱמֶת לְיַעֲקֹב חֶֽסֶד לְאַבְרָהָם אֲשֶׁר נִשְׁבַּֽעְתָּ לַאֲבוֹתֵֽינוּ מִֽימֵי קֶֽדֶם: בָּרוּךְ אֲדֹנָי יוֹם יוֹם יַעֲמָס לָֽנוּ הָאֵל יְשׁוּעָתֵֽנוּ סֶֽלָה: יְהֹוָה צְבָאוֹת עִמָּֽנוּ מִשְׂגָּב לָֽנוּ אֱלֺהֵי יַעֲקֹב סֶֽלָה: יְהֹוָה צְבָאוֹת אַשְׁרֵי אָדָם בֹּטֵֽחַ בָּךְ: יְהֹוָה הוֹשִֽׁיעָה הַמֶּֽלֶךְ יַעֲנֵֽנוּ בְיוֹם קָרְאֵֽנוּ:
בָּרוּךְ הוּא אֱלֺהֵֽינוּ שֶׁבְּ֒רָאָֽנוּ לִכְ֒בוֹדוֹ וְהִבְדִּילָֽנוּ מִן הַתּוֹעִים וְנָֽתַן לָֽנוּ תּוֹרַת אֱמֶת וְחַיֵּי עוֹלָם נָטַע בְּתוֹכֵֽנוּ הוּא יִפְתַּח לִבֵּֽנוּ בְּתוֹרָתוֹ וְיָשֵׂם בְּלִבֵּֽנוּ אַהֲבָתוֹ וְיִרְאָתוֹ וְלַעֲשׂוֹת רְצוֹנוֹ וּלְעָבְ֒דוֹ בְּלֵבָב שָׁלֵם לְמַֽעַן לֺא נִיגַע לָרִיק וְלֺא נֵלֵד לַבֶּהָלָה:
יְהִי רָצוֹן מִלְּ֒פָנֶֽיךָ יְהֹוָה אֱלֺהֵֽינוּ וֵאלֺהֵי אֲבוֹתֵֽינוּ שֶׁנִּשְׁמֹר חֻקֶּֽיךָ בָּעוֹלָם הַזֶּה וְנִזְכֶּה וְנִחְיֶה וְנִרְאֶה וְנִירַשׁ טוֹבָה וּבְרָכָה לִשְׁ֒נֵי יְמוֹת הַמָּשִֽׁיחַ וּלְחַיֵּי הָעוֹלָם הַבָּא: לְמַֽעַן יְזַמֶּרְ֒ךָ כָבוֹד וְלֺא יִדֹּם יְהֹוָה אֱלֺהַי לְעוֹלָם אוֹדֶֽךָּ: בָּרוּךְ הַגֶּֽבֶר אֲשֶׁר יִבְטַח בַּיהוָֹה וְהָיָה יְהֹוָה מִבְטַחוֹ: בִּטְ֒חוּ בַיהוָֹה עֲדֵי עַד כִּי בְּיָהּ יְהֹוָה צוּר עוֹלָמִים: וְיִבְטְחוּ בְךָ יוֹדְ֒עֵי שְׁמֶֽךָ כִּי לֺא עָזַֽבְתָּ דֹרְ֒שֶֽׁיךָ יְהֹוָה: יְהֹוָה חָפֵץ לְמַֽעַן צִדְקוֹ יַגְדִּיל תּוֹרָה וְיַאְדִּיר:</t>
        </is>
      </c>
      <c r="F227" s="10" t="inlineStr"/>
      <c r="G227" s="14" t="inlineStr">
        <is>
          <t>Siddur Ashkenaz, Weekday, Shacharit, Concluding Prayers, Uva Letzion</t>
        </is>
      </c>
      <c r="H227" s="12" t="inlineStr">
        <is>
          <t>The Metsudah siddur, 1981 — CC-BY</t>
        </is>
      </c>
      <c r="I227" s="12" t="inlineStr">
        <is>
          <t>sefaria-siddur-ashkenaz-weekday-shacharit-concluding-prayers-uva-letzion</t>
        </is>
      </c>
    </row>
    <row r="228" ht="267" customHeight="1">
      <c r="A228" s="7">
        <f>IF(LEN(TRIM(F228))=0,"Approved","Comment to address")</f>
        <v/>
      </c>
      <c r="B228" s="8" t="inlineStr">
        <is>
          <t>Kaddish Shalem</t>
        </is>
      </c>
      <c r="C228" s="8" t="inlineStr">
        <is>
          <t>daily</t>
        </is>
      </c>
      <c r="D228" s="8" t="inlineStr">
        <is>
          <t>Ashkenaz</t>
        </is>
      </c>
      <c r="E228"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תִּתְקַבֵּל צְלוֹתְ֒הוֹן וּבָעוּתְ֒הוֹן דְּכָל בֵּית יִשְׂרָאֵל קֳדָם אֲבוּהוֹן דִּי בִשְׁ֒מַיָּא וְאִמְרוּ אָמֵן:
יְהֵא שְׁלָמָֽא רַבָּֽא מִן־שְׁמַיָּֽא וְחַיִּים עָלֵֽינוּ וְעַל־כָּל־יִשְׂרָאֵל וְאִמְרוּ אָמֵן:
עוֹשֶׂה שָׁלוֹם (בעשי"ת הַשָּׁלוֹם) בִּמְרוֹמָיו הוּא יַעֲשֶׂה שָׁלוֹם עָלֵֽינוּ וְעַל כָּל יִשְׂרָאֵל וְאִמְרוּ אָמֵן:</t>
        </is>
      </c>
      <c r="F228" s="10" t="inlineStr"/>
      <c r="G228" s="11" t="inlineStr">
        <is>
          <t>Siddur Ashkenaz, Weekday, Shacharit, Concluding Prayers, Kaddish Shalem</t>
        </is>
      </c>
      <c r="H228" s="8" t="inlineStr">
        <is>
          <t>The Metsudah siddur, 1981 — CC-BY</t>
        </is>
      </c>
      <c r="I228" s="8" t="inlineStr">
        <is>
          <t>sefaria-siddur-ashkenaz-weekday-shacharit-concluding-prayers-kaddish-shalem</t>
        </is>
      </c>
    </row>
    <row r="229" ht="352" customHeight="1">
      <c r="A229" s="7">
        <f>IF(LEN(TRIM(F229))=0,"Approved","Comment to address")</f>
        <v/>
      </c>
      <c r="B229" s="12" t="inlineStr">
        <is>
          <t>Alenu</t>
        </is>
      </c>
      <c r="C229" s="12" t="inlineStr">
        <is>
          <t>daily</t>
        </is>
      </c>
      <c r="D229" s="12" t="inlineStr">
        <is>
          <t>Ashkenaz</t>
        </is>
      </c>
      <c r="E229" s="13"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t>
        </is>
      </c>
      <c r="F229" s="10" t="inlineStr"/>
      <c r="G229" s="14" t="inlineStr">
        <is>
          <t>Siddur Ashkenaz, Weekday, Shacharit, Concluding Prayers, Alenu</t>
        </is>
      </c>
      <c r="H229" s="12" t="inlineStr">
        <is>
          <t>The Metsudah siddur, 1981 — CC-BY</t>
        </is>
      </c>
      <c r="I229" s="12" t="inlineStr">
        <is>
          <t>sefaria-siddur-ashkenaz-weekday-shacharit-concluding-prayers-alenu</t>
        </is>
      </c>
    </row>
    <row r="230" ht="233" customHeight="1">
      <c r="A230" s="7">
        <f>IF(LEN(TRIM(F230))=0,"Approved","Comment to address")</f>
        <v/>
      </c>
      <c r="B230" s="8" t="inlineStr">
        <is>
          <t>Mourner's Kaddish</t>
        </is>
      </c>
      <c r="C230" s="8" t="inlineStr">
        <is>
          <t>daily</t>
        </is>
      </c>
      <c r="D230" s="8" t="inlineStr">
        <is>
          <t>Ashkenaz</t>
        </is>
      </c>
      <c r="E230"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230" s="10" t="inlineStr"/>
      <c r="G230" s="11" t="inlineStr">
        <is>
          <t>Siddur Ashkenaz, Weekday, Shacharit, Concluding Prayers, Mourner's Kaddish</t>
        </is>
      </c>
      <c r="H230" s="8" t="inlineStr">
        <is>
          <t>The Metsudah siddur, 1981 — CC-BY</t>
        </is>
      </c>
      <c r="I230" s="8" t="inlineStr">
        <is>
          <t>sefaria-siddur-ashkenaz-weekday-shacharit-concluding-prayers-mourner-s-kaddish</t>
        </is>
      </c>
    </row>
    <row r="231" ht="409" customHeight="1">
      <c r="A231" s="7">
        <f>IF(LEN(TRIM(F231))=0,"Approved","Comment to address")</f>
        <v/>
      </c>
      <c r="B231" s="12" t="inlineStr">
        <is>
          <t>Song of the Day</t>
        </is>
      </c>
      <c r="C231" s="12" t="inlineStr">
        <is>
          <t>daily</t>
        </is>
      </c>
      <c r="D231" s="12" t="inlineStr">
        <is>
          <t>Ashkenaz</t>
        </is>
      </c>
      <c r="E231" s="13" t="inlineStr">
        <is>
          <t>נהגו לומר בכל ימי השבוע השיר שהיו הלוים אומרים במקדש. ומקורו במס' סופרים (מס' סופרים י"ח, א) לפיכך נהגו העם לומר מזמורים בעונתן. דתנינן תמן (תמיד פ"ז מ"ד) השיר שהיו הלוים אומרים בביהמ"ק וכו'. שכל המזכיר פסוק בעונתו מעלה עליו כאילו בונה מזבח חדש ומקריב עליו קרבן. ע"כ. (עץ יוסף)
בראשון בשבת:
הַיּוֹם יוֹם רִאשׁוֹן בַּשַּׁבָּת שֶׁבּוֹ הָיוּ הַלְוִיִּם אוֹמְ֒רִים בְּבֵית הַמִּקְדָּשׁ:
לְדָוִד מִזְמוֹר לַיהוָֹה הָאָֽרֶץ וּמְלוֹאָהּ תֵּבֵל וְיֽשְׁ֒בֵי בָהּ: כִּי הוּא עַל יַמִּים יְסָדָהּ וְעַל נְהָרוֹת יְכוֹנְ֒נֶֽהָ: מִי יַעֲלֶה בְהַר יְהֹוָה וּמִי יָקוּם בִּמְ֒קוֹם קָדְשׁוֹ: נְקִי כַפַּֽיִם וּבַר לֵבָב אֲשֶׁר לֺא נָשָׂא לַשָּׁוְא נַפְשִׁי וְלֺא נִשְׁבַּע לְמִרְמָה: יִשָּׂא בְרָכָה מֵאֵת יְהֹוָה וּצְדָקָה מֵאֱלֺהֵי יִשְׁעוֹ: זֶה דּוֹר דּוֹרְ֒שָׁיו מְבַקְשֵׁי פָנֶֽיךָ יַעֲקֹב סֶֽלָה: שְׂאוּ שְׁעָרִים רָאשֵׁיכֶם וְהִנָּשְׂ֒אוּ פִּתְ֒חֵי עוֹלָם וְיָבוֹא מֶֽלֶךְ הַכָּבוֹד: מִי זֶה מֶֽלֶךְ הַכָּבוֹד יְהֹוָה עִזּוּז וְגִבּוֹר יְהֹוָה גִּבּוֹר מִלְחָמָה: שְׂאוּ שְׁעָרִים רָאשֵׁיכֶם וּשְׂ֒אוּ פִּתְ֒חֵי עוֹלָם וְיָבוֹא מֶֽלֶךְ הַכָּבוֹד: מִי הוּא זֶה מֶֽלֶךְ הַכָּבוֹד יְהֹוָה צְבָאוֹת הוּא מֶֽלֶךְ הַכָּבוֹד סֶֽלָה:
בשני בשבת:
הַיּוֹם יוֹם שֵׁנִי בַּשַּׁבָּת שֶׁבּוֹ הָיוּ הַלְוִיִּם אוֹמְ֒רִים בְּבֵית הַמִּקְדָּשׁ:
שִׁיר מִזְמוֹר לִבְנֵי קֹֽרַח: גָּדוֹל יְהֹוָה וּמְהֻלָּל מְאֹד בְּעִיר אֱלֺהֵֽינוּ הַר קָדְשׁוֹ: יְפֵה נוֹף מְשׂוֹשׂ כָּל הָאָֽרֶץ הַר צִיּוֹן יַרְכְּתֵי צָפוֹן קִרְיַת מֶֽלֶךְ רָב: אֱלֺהִים בְּאַרְמְנוֹתֶֽיהָ נוֹדַע לְמִשְׂגָּב: כִּי הִנֵּה הַמְּ֒לָכִים נוֹעֲדוּ עָבְ֒רוּ יַחְדָּו: הֵֽמָּה רָאוּ כֵּן תָּמָֽהוּ נִבְהֲלוּ נֶחְפָּֽזוּ: רְעָדָה אֲחָזָֽתַם שָׁם חִיל כַּיּוֹלֵדָה: בְּרֽוּחַ קָדִים תְּשַׁבֵּר אֳנִיּוֹת תַּרְשִׁישׁ: כַּאֲשֶׁר שָׁמַֽעְנוּ כֵּן רָאִֽינוּ בְּעִיר יְהֹוָה צְבָאוֹת בְּעִיר אֱלֺהֵֽינוּ אֱלֺהִים יְכוֹנְ֒נֶֽהָ עַד עוֹלָם סֶֽלָה: דִּמִּֽינוּ אֱלֺהִים חַסְדֶּֽךָ בְּקֶֽרֶב הֵיכָלֶֽךָ: כְּשִׁמְךָ אֱלֺהִים כֵּן תְּהִלָּתְ֒ךָ עַל קַצְוֵי אֶֽרֶץ צֶֽדֶק מָלְ֒אָה יְמִינֶֽךָ: יִשְׂמַח הַר צִיּוֹן תָּגֵֽלְנָה בְּנוֹת יְהוּדָה לְמַֽעַן מִשְׁפָּטֶֽיךָ: סֹֽבּוּ צִיּוֹן וְהַקִּיפֽוּהָ סִפְ֒רוּ מִגְדָּלֶֽיהָ: שִֽׁיתוּ לִבְּ֒כֶם לְחֵילָה פַּסְּ֒גוּ אַרְמְ֒נוֹתֶֽיהָ לְמַֽעַן תְּסַפְּ֒רוּ לְדוֹר אַחֲרוֹן: כִּי זֶה אֱלֺהִים אֱלֺהֵֽינוּ עוֹלָם וָעֶד הוּא יְנַהֲגֵֽנוּ עַל מוּת:
בשלישי בשבת:
הַיּוֹם יוֹם שְׁלִישִׁי בַּשַּׁבָּת שֶׁבּוֹ הָיוּ הַלְוִיִּם אוֹמְ֒רִים בְּבֵית הַמִּקְדָּשׁ:
מִזְמוֹר לְאָסָף אֱלֺהִים נִצָּב בַּעֲדַת אֵל בְּקֶֽרֶב אֱלֺהִים יִשְׁפֹּט: עַד מָתַי תִּשְׁפְּטוּ עָֽוֶל וּפְנֵי רְשָׁעִים תִּשְׂ֒אוּ סֶֽלָה: שִׁפְ֒טוּ דָל וְיָתוֹם עָנִי וָרָשׁ הַצְדִּֽיקוּ: פַּלְּ֒טוּ דַל וְאֶבְיוֹן מִיַּד רְשָׁעִים הַצִּֽילוּ: לֺא יָדְ֒עוּ וְלֺא יָבִֽינוּ בַּחֲשֵׁכָה יִתְהַלָּֽכוּ יִמּֽוֹטוּ כָּל מֽוֹסְ֒דֵי אָֽרֶץ: אֲנִי אָמַֽרְתִּי אֱלֺהִים אַתֶּם וּבְנֵי עֶלְיוֹן כֻּלְּ֒כֶם: אָכֵן כְּאָדָם תְּמוּתוּן וּכְאַחַד הַשָּׂרִים תִּפֹּֽלוּ: קוּמָה אֱלֺהִים שָׁפְ֒טָה הָאָרֶץ כִּי אַתָּה תִנְחַל בְּכָל הַגּוֹיִם:
ברביעי בשבת:
הַיּוֹם יוֹם רְבִיעִי בַּשַּׁבָּת שֶׁבּוֹ הָיוּ הַלְוִיִּם אוֹמְ֒רִים בְּבֵית הַמִּקְדָּשׁ:
אֵל נְקָמוֹת יְהֹוָה אֵל נְקָמוֹת הוֹפִֽיעַ: הִנָּשֵׂא שֹׁפֵט הָאָֽרֶץ הָשֵׁב גְּמוּל עַל גֵּאִים: עַד מָתַי רְשָׁעִים יְהֹוָה עַד מָתַי רְשָׁעִים יַעֲלֺֽזוּ: יַבִּֽיעוּ יְדַבְּ֒רוּ עָתָק יִתְאַמְּ֒רוּ כָּל פֹּֽעֲלֵי אָֽוֶן: עַמְּ֒ךָ יְהֹוָה יְדַכְּ֒אוּ וְנַחֲלָתְ֒ךָ יְעַנּוּ: אַלְמָנָה וְגֵר יַהֲרֹֽגוּ וִיתוֹמִים יְרַצֵּֽחוּ: וַיֹּאמְ֒רוּ לֺא יִרְאֶה יָהּ וְלֺא יָבִין אֱלֺהֵי יַעֲקֹב: בִּֽינוּ בֹּעֲרִים בָּעָם וּכְסִילִים מָתַי תַּשְׂכִּֽילוּ: הֲנֹֽטַע אֹֽזֶן הֲלֺא יִשְׁמָע אִם יוֹצֵר עַֽיִן הֲלֺא יַבִּיט: הֲיֹסֵר גּוֹיִם הֲלֺא יוֹכִֽיחַ הַמְלַמֵּד אָדָם דָּֽעַת: יְהֹוָה יֹדֵֽעַ מַחְשְׁ֒בוֹת אָדָם כִּי הֵֽמָּה הָֽבֶל: אַשְׁרֵי הַגֶּֽבֶר אֲשֶׁר תְּיַסְּ֒רֶֽנּוּ יָהּ וּמִתּוֹרָתְ֒ךָ תְלַמְּ֒דֶֽנּוּ: לְהַשְׁקִיט לוֹ מִֽימֵי רָע עַד יִכָּרֶה לָרָשָׁע שָֽׁחַת: כִּי לֺא יִטּשׁ יְהֹוָה עַמּוֹ וְנַחֲלָתוֹ לֺא יַעֲזֹב: כִּי עַד צֶֽדֶק יָשׁוּב מִשְׁפָּט וְאַחֲרָיו כָּל יִשְׁ֒רֵי לֵב: מִי יָקוּם לִי עִם מְרֵעִים מִי יִתְיַצֵּב לִי עִם פֹּֽעֲלֵי אָֽוֶן: לוּלֵי יְהֹוָה עֶזְרָֽתָה לִּי כִּמְ֒עַט שָׁכְ֒נָה דוּמָה נַפְשִׁי: אִם אָמַֽרְתִּי מָֽטָה רַגְלִי חַסְדְּ֒ךָ יְהֹוָה יִסְעָדֵֽנִי: בְּרֹב שַׂרְעַפַּי בְּקִרְבִּי תַּנְחוּמֶֽיךָ יְשַׁעַשְׁ֒עוּ נַפְשִׁי: הַיְחָבְרְךָ כִּסֵּא הַוָּוֹת יֹצֵר עָמָל עֲלֵי חֹק: יָגֽוֹדּוּ עַל נֶֽפֶשׁ צַדִּיק וְדָם נָקִי יַרְשִֽׁיעוּ: וַיְהִי יְהֹוָה לִי לְמִשְׂגָּב וֵאלֺהַי לְצוּר מַחְסִי: וַיָּֽשֶׁב עֲלֵיהֶם אֶת אוֹנָם וּבְרָעָתָם יַצְמִיתֵם יַצְמִיתֵם יְהֹוָה אֱלֺהֵֽינוּ: לְכוּ נְרַנְּ֒נָה לַיהוָֹה נָרִֽיעָה לְצוּר יִשְׁעֵֽנוּ: נְקַדְּ֒מָה פָנָיו בְּתוֹדָה בִּזְמִרוֹת נָרִֽיעַ לוֹ: כִּי אֵל גָּדוֹל יְהֹוָה וּמֶֽלֶךְ גָּדוֹל עַל כָּל אֱלֺהִים:
בחמישי בשבת:
הַיּוֹם יוֹם חֲמִישִׁי בַּשַּׁבָּת שֶׁבּוֹ הָיוּ הַלְוִיִּם אוֹמְ֒רִים בְּבֵית הַמִּקְדָּשׁ:
לַמְנַצֵּֽחַ עַל הַגִּתִּית לְאָסָף: הַרְנִֽינוּ לֵאלֺהִים עֻזֵּנוּ הָרִֽיעוּ לֵאלֺהֵי יַעֲקֹב: שְׂאוּ זִמְרָה וּתְנוּ תֹף כִּנּוֹר נָעִים עִם נָֽבֶל: תִּקְ֒עוּ בַחֹֽדֶשׁ שׁוֹפָר בַּכֶּֽסֶה לְיוֹם חַגֵּֽנוּ: כִּי חֹק לְיִשְׂרָאֵל הוּא מִשְׁפָּט לֵאלֺהֵי יַעֲקֹב: עֵדוּת בִּיהוֹסֵף שָׂמוֹ בְּצֵאתוֹ עַל אֶֽרֶץ מִצְרָֽיִם שְׂפַת לֺא יָדַֽעְתִּי אֶשְׁמָע: הֲסִירֽוֹתִי מִסֵּֽבֶל שִׁכְמוֹ כַּפָּיו מִדּוּד תַּעֲבֹֽרְ֒נָה: בַּצָּרָה קָרָֽאתָ וָאֲחַלְּ֒צֶֽךָּ אֶעֶנְךָ בְּסֵֽתֶר רַֽעַם אֶבְחָנְ֒ךָ עַל מֵי מְרִיבָה סֶֽלָה: שְׁמַע עַמִּי וְאָעִֽידָה בָּךְ יִשְׂרָאֵל אִם תִּשְׁמַע לִי: לֺא יִהְיֶה בְךָ אֵל זָר וְלֺא תִשְׁתַּחֲוֶה לְאֵל נֵכָר: אָנֹכִי יְהֹוָה אֱלֺהֶֽיךָ הַמַּעַלְךָ מֵאֶֽרֶץ מִצְרָֽיִם הַרְחֶב פִּֽיךָ וַאֲמַלְאֵֽהוּ: וְלֺא שָׁמַע עַמִּי לְקוֹלִי וְיִשְׂרָאֵל לֺא אָֽבָה לִי: וָאֲשַׁלְּ֒חֵֽהוּ בִּשְׁרִירוּת לִבָּם יֵלְ֒כוּ בְּמוֹעֲצוֹתֵיהֶם: לוּ עַמִּי שֹׁמֵֽעַ לִי יִשְׂרָאֵל בִּדְ֒רָכַי יְהַלֵּֽכוּ: כִּמְ֒עַט אוֹיְ֒בֵיהֶם אַכְנִֽיעַ וְעַל צָרֵיהֶם אָשִׁיב יָדִי: מְשַׂנְאֵי יְהֹוָה יְכַחֲשׁוּ לוֹ וִיהִי עִתָּם לְעוֹלָם: וַיַּאֲכִילֵֽהוּ מֵחֵֽלֶב חִטָּה וּמִצּוּר דְּבַשׁ אַשְׂבִּיעֶֽךָּ:
בשישי בשבת:
הַיּוֹם יוֹם שִׁשִּׁי בַּשַּׁבָּת שֶׁבּוֹ הָיוּ הַלְוִיִּם אוֹמְ֒רִים בְּבֵית הַמִּקְדָּשׁ:
יְהֹוָה מָלָךְ גֵּאוּת לָבֵשׁ לָבֵשׁ יְהֹוָה עֹז הִתְאַזָּר אַף תִּכּוֹן תֵּבֵל בַּל תִּמּוֹט: נָכוֹן כִּסְאֲךָ מֵאָז מֵעוֹלָם אָֽתָּה: נָשְׂ֒אוּ נְהָרוֹת יְהֹוָה נָשְׂ֒אוּ נְהָרוֹת קוֹלָם יִשְׂ֒אוּ נְהָרוֹת דָּכְיָם: מִקֹּלוֹת מַֽיִם רַבִּים אַדִּירִים מִשְׁבְּ֒רֵי יָם אַדִּיר בַּמָּרוֹם יְהֹוָה: עֵדֹתֶֽיךָ נֶאֶמְ֒נוּ מְאֹד לְבֵיתְ֒ךָ נָאֲוָה קֹֽדֶשׁ יְהֹוָה לְאֹֽרֶךְ יָמִים:</t>
        </is>
      </c>
      <c r="F231" s="10" t="inlineStr"/>
      <c r="G231" s="14" t="inlineStr">
        <is>
          <t>Siddur Ashkenaz, Weekday, Shacharit, Concluding Prayers, Song of the Day</t>
        </is>
      </c>
      <c r="H231" s="12" t="inlineStr">
        <is>
          <t>The Metsudah siddur, 1981 — CC-BY</t>
        </is>
      </c>
      <c r="I231" s="12" t="inlineStr">
        <is>
          <t>sefaria-siddur-ashkenaz-weekday-shacharit-concluding-prayers-song-of-the-day</t>
        </is>
      </c>
    </row>
    <row r="232" ht="409" customHeight="1">
      <c r="A232" s="7">
        <f>IF(LEN(TRIM(F232))=0,"Approved","Comment to address")</f>
        <v/>
      </c>
      <c r="B232" s="8" t="inlineStr">
        <is>
          <t>Barchi Nafshi</t>
        </is>
      </c>
      <c r="C232" s="8" t="inlineStr">
        <is>
          <t>daily</t>
        </is>
      </c>
      <c r="D232" s="8" t="inlineStr">
        <is>
          <t>Ashkenaz</t>
        </is>
      </c>
      <c r="E232" s="9" t="inlineStr">
        <is>
          <t>נוהגין בספרד לומר מזמור ברכי נפשי בראש חדש לפי שיש בו עשה ירח למועדים (טור אורח חיים תכג)
בָּרְ֒כִי נַפְשִׁי אֶת־יְהֹוָה יְהֹוָה אֱלֺהַי גָּדַֽלְתָּ מְאֹד, הוֹד וְהָדָר לָבָֽשְׁתָּ: עֹֽטֶה אוֹר כַּשַּׂלְמָה, נוֹטֶה שָׁמַֽיִם כַּיְרִיעָה: הַמְקָרֶה בַמַּֽיִם עֲלִיּוֹתָיו הַשָּׂם־עָבִים רְכוּבוֹ, הַמְהַלֵּךְ עַל־כַּנְפֵי־רֽוּחַ: עֹשֶׂה מַלְאָכָיו רוּחוֹת, מְשָׁרְ֒תָיו אֵשׁ לֺהֵט: יָסַד אֶֽרֶץ עַל־מְכוֹנֶֽיהָ, בַּל־תִּמּוֹט עוֹלָם וָעֶד:
תְּהוֹם כַּלְּ֒בוּשׁ כִּסִּיתוֹ, עַל־הָרִים יַֽעַמְדוּ מָֽיִם: מִן־גַּעֲרָתְ֒ךָ יְנוּסוּן, מִן־קוֹל רַעַמְךָ יֵחָפֵזוּן: יַעֲלוּ הָרִים יֵרְ֒דוּ בְקָעוֹת, אֶל־מְקוֹם זֶה יָסַֽדְתָּ לָהֶם: גְּבוּל־שַֽׂמְתָּ בַּל־יַעֲבֹרוּן, בַּל־יְשֻׁבוּן לְכַסּוֹת הָאָֽרֶץ:
הַמְשַׁלֵּֽחַ מַעְיָנִים בַּנְּ֒חָלִים, בֵּין הָרִים יְהַלֵּכוּן: יַשְׁקוּ כָּל־חַיְתוֹ שָׂדָי, יִשְׁבְּרוּ פְרָאִים צְמָאָם: עֲלֵיהֶם עוֹף־הַשָּׁמַֽיִם יִשְׁכּוֹן, מִבֵּין עֳפָאִים יִתְּ֒נוּ־קוֹל: מַשְׁקֶה הָרִים מֵעֲלִיּוֹתָיו, מִפְּ֒רִי מַעֲשֶֽׂיךָ תִּשְׂבַּע הָאָֽרֶץ:
מַצְמִֽיחַ חָצִיר לַבְּ֒הֵמָה וְעֵֽשֶׂב לַעֲבֹדַת הָאָדָם, לְהוֹצִיא לֶֽחֶם מִן־הָאָֽרֶץ: וְיַֽיִן יְשַׂמַּח לְבַב־אֱנוֹשׁ לְהַצְהִיל פָּנִים מִשָּֽׁמֶן, וְלֶֽחֶם לְבַב־אֱנוֹשׁ יִסְעָד: יִשְׂבְּ֒עוּ עֲצֵי יְהֹוָה אַרְזֵי לְבָנוֹן אֲשֶׁר נָטָע: אֲשֶׁר־שָׁם צִפֳּרִים יְקַנֵּֽנוּ, חֲסִידָה בְּרוֹשִׁים בֵּיתָהּ: הָרִים הַגְּ֒בֹהִים לַיְּ֒עֵלִים, סְלָעִים מַחְסֶה לַשְּׁ֒פַנִּים:
עָשָׂה יָרֵֽחַ לְמוֹעֲדִים שֶֽׁמֶשׁ יָדַע מְבוֹאוֹ: תָּֽשֶׁת חֽשֶׁךְ וִיהִי לָֽיְלָה, בּוֹ־תִרְמֹשׂ כָּל־חַֽיְ֒תוֹ־יָֽעַר: הַכְּ֒פִירִים שֹׁאֲגִים לַטָּֽרֶף, וּלְבַקֵּשׁ מֵאֵל אָכְלָם: תִּזְרַח הַשֶּֽׁמֶשׁ יֵאָסֵפוּן, וְאֶל־מְעוֹנֹתָם יִרְבָּצוּן: יֵצֵא אָדָם לְפָעֳלוֹ, וְלַעֲבֹדָתוֹ עֲדֵי־עָֽרֶב:
מָה־רַבּוּ מַעֲשֶֽׂיךָ יְהֹוָה כֻּלָּם בְּחָכְמָה עָשִֽׂיתָ, מָלְ֒אָה הָאָֽרֶץ קִנְיָנֶֽךָ: זֶה הַיָּם גָּדוֹל וּרְחַב יָדָֽיִם שָׁם־רֶֽמֶשׂ וְאֵין מִסְפָּר, חַיּוֹת קְטַנּוֹת עִם־גְּדֹלוֹת: שָׁם אֳנִיּוֹת יְהַלֵּכוּן, לִוְיָתָן זֶה יָצַֽרְתָּ לְשַֽׂחֶק־בּוֹ: כֻּלָּם אֵלֶֽיךָ יְשַׂבֵּרוּן, לָתֵת אָכְלָם בְּעִתּוֹ: תִּתֵּן לָהֶם יִלְקֹטוּן, תִּפְתַּח יָדְ֒ךָ יִשְׂבְּעוּן טוֹב: תַּסְתִּיר פָּנֶֽיךָ יִבָּהֵלוּן תֹּסֵף רוּחָם יִגְוָעוּן, וְאֶל־עֲפָרָם יְשׁוּבוּן: תְּשַׁלַּח רוּחֲךָ יִבָּרֵאוּן, וּתְחַדֵּשׁ פְּנֵי אֲדָמָה:
יְהִי כְבוֹד יְהֹוָה לְעוֹלָם, יִשְׂמַח יְהֹוָה בְּמַעֲשָׂיו: הַמַּבִּיט לָאָֽרֶץ וַתִּרְעָד, יִגַּע בֶּהָרִים וְיֶעֱשָֽׁנוּ: אָשִֽׁירָה לַּיהוָֹה בְּחַיָּי, אֲזַמְּ֒רָה לֵאלֺהַי בְּעוֹדִי: יֶעֱרַב עָלָיו שִׂיחִי, אָנֹכִי אֶשְׂמַח בַּיהוָֹה: יִתַּֽמּוּ חַטָּאִים מִן־הָאָֽרֶץ וּרְשָׁעִים עוֹד אֵינָם בָּרְ֒כִי נַפְשִׁי אֶת־יְהֹוָה הַלְ֒לוּיָהּ:</t>
        </is>
      </c>
      <c r="F232" s="10" t="inlineStr"/>
      <c r="G232" s="11" t="inlineStr">
        <is>
          <t>Siddur Ashkenaz, Weekday, Shacharit, Concluding Prayers, Barchi Nafshi</t>
        </is>
      </c>
      <c r="H232" s="8" t="inlineStr">
        <is>
          <t>The Metsudah siddur, 1981 — CC-BY</t>
        </is>
      </c>
      <c r="I232" s="8" t="inlineStr">
        <is>
          <t>sefaria-siddur-ashkenaz-weekday-shacharit-concluding-prayers-barchi-nafshi</t>
        </is>
      </c>
    </row>
    <row r="233" ht="409" customHeight="1">
      <c r="A233" s="7">
        <f>IF(LEN(TRIM(F233))=0,"Approved","Comment to address")</f>
        <v/>
      </c>
      <c r="B233" s="12" t="inlineStr">
        <is>
          <t>LeDavid</t>
        </is>
      </c>
      <c r="C233" s="12" t="inlineStr">
        <is>
          <t>daily</t>
        </is>
      </c>
      <c r="D233" s="12" t="inlineStr">
        <is>
          <t>Ashkenaz</t>
        </is>
      </c>
      <c r="E233" s="13" t="inlineStr">
        <is>
          <t>מנהג טוב לומר אחר כל תפלה מזמור לדוד ה׳‬ אורי וישעי. ובפרט מר״ח אלול עד הושענא רבא (מורה באצבע סי' לז).
לְדָוִד יְהֹוָה אוֹרִי וְיִשְׁעִי מִמִּי אִירָא יְהֹוָה מָעוֹז חַיַּי מִמִּי אֶפְחָד: בִּקְ֒רֹב עָלַי מְרֵעִים לֶאֱכֹל אֶת בְּשָׂרִי צָרַי וְאֹיְ֒בַי לִי הֵֽמָּה כָשְׁ֒לוּ וְנָפָֽלוּ: אִם תַּחֲנֶה עָלַי מַחֲנֶה לֺא יִירָא לִבִּי אִם תָּקוּם עָלַי מִלְחָמָה בְּזֹאת אֲנִי בוֹטֵֽחַ: אַחַת שָׁאַֽלְתִּי מֵאֵת יְהֹוָה אוֹתָהּ אֲבַקֵּשׁ שִׁבְתִּי בְּבֵית יְהֹוָה כָּל יְמֵי חַיַּי לַחֲזוֹת בְּנֹֽעַם יְהֹוָה וּלְבַקֵּר בְּהֵיכָלוֹ: כִּי יִצְפְּ֒נֵֽנִי בְּסֻכֹּה בְּיוֹם רָעָה יַסְתִּרֵֽנִי בְּסֵֽתֶר אָהֳלוֹ בְּצוּר יְרוֹמְ֒מֵֽנִי: וְעַתָּה יָרוּם רֹאשִׁי עַל אֹיְ֒בַי סְבִיבוֹתָי וְאֶזְבְּחָה בְאָהֳלוֹ זִבְחֵי תְרוּעָה אָשִֽׁירָה וַאֲזַמְּ֒רָה לַיהוָֹה: שְׁמַע יְהֹוָה קוֹלִי אֶקְרָא וְחָנֵּֽנִי וַעֲנֵֽנִי: לְךָ אָמַר לִבִּי בַּקְּ֒שׁוּ פָנָי אֶת פָּנֶֽיךָ יְהֹוָה אֲבַקֵּשׁ: אַל תַּסְתֵּר פָּנֶֽיךָ מִמֶּֽנִּי אַל תַּט בְּאַף עַבְדֶּֽךָ עֶזְרָתִי הָיִֽיתָ אַל תִּטְּ֒שֵֽׁנִי וְאַל תַּעַזְבֵֽנִי אֱלֺהֵי יִשְׁעִי: כִּי אָבִי וְאִמִּי עֲזָבֽוּנִי וַיהוָֹה יַאַסְפֵֽנִי: הוֹרֵֽנִי יְהֹוָה דַּרְכֶּֽךָ וּנְחֵֽנִי בְּאֹֽרַח מִישׁוֹר לְמַֽעַן שׁוֹרְ֒רָי: אַל תִּתְּ֒נֵֽנִי בְּנֶֽפֶשׁ צָרָי כִּי קָֽמוּ בִי עֵֽדֵי שֶֽׁקֶר וִיפֵֽחַ חָמָס: לוּלֵא הֶאֱמַֽנְתִּי לִרְאוֹת בְּטוּב יְהֹוָה בְּאֶֽרֶץ חַיִּים: קַוֵּה אֶל יְהֹוָה חֲזַק וְיַאֲמֵץ לִבֶּךָ וְקַוֵּה אֶל יְהֹוָה: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233" s="10" t="inlineStr"/>
      <c r="G233" s="14" t="inlineStr">
        <is>
          <t>Siddur Ashkenaz, Weekday, Shacharit, Concluding Prayers, LeDavid</t>
        </is>
      </c>
      <c r="H233" s="12" t="inlineStr">
        <is>
          <t>The Metsudah siddur, 1981 — CC-BY</t>
        </is>
      </c>
      <c r="I233" s="12" t="inlineStr">
        <is>
          <t>sefaria-siddur-ashkenaz-weekday-shacharit-concluding-prayers-ledavid</t>
        </is>
      </c>
    </row>
    <row r="234" ht="409" customHeight="1">
      <c r="A234" s="7">
        <f>IF(LEN(TRIM(F234))=0,"Approved","Comment to address")</f>
        <v/>
      </c>
      <c r="B234" s="8" t="inlineStr">
        <is>
          <t>Pitum HaKetoret</t>
        </is>
      </c>
      <c r="C234" s="8" t="inlineStr">
        <is>
          <t>daily</t>
        </is>
      </c>
      <c r="D234" s="8" t="inlineStr">
        <is>
          <t>Ashkenaz</t>
        </is>
      </c>
      <c r="E234" s="9" t="inlineStr">
        <is>
          <t>פִּטּוּם הַקְּ֒טֹֽרֶת הַצֳּרִי וְהַצִּפֹּֽרֶן הַחֶלְבְּ֒נָה וְהַלְּ֒בוֹנָה מִשְׁקַל שִׁבְעִים שִׁבְעִים מָנֶה, מוֹר וּקְצִיעָה שִׁבֹּֽלֶת נֵרְדְּ וְכַרְכֹּם מִשְׁקַל שִׁשָּׁה עָשָׂר שִׁשָּׁה עָשָׂר מָנֶה, הַקּשְׁטְ שְׁנֵים עָשָׂר וְקִלּוּפָה שְׁלשָׁה וְקִנָּמוֹן תִּשְׁעָה, בֹּרִית כַּרְשִׁינָה תִּשְׁעָה קַבִּין, יֵין קַפְרִיסִין סְאִין תְּלָתָא וְקַבִּין תְּלָתָא, וְאִם אֵין לוֹ יֵין קַפְרִיסִין מֵבִיא חֲמַר חִוַּרְיָן עַתִּיק, מֶֽלַח סְדוֹמִית רֹֽבַע הַקָּב, מַעֲלֶה עָשָׁן כָּל שֶׁהוּא, רַבִּי נָתָן הַבַּבְלִי אוֹמֵר אַף כִּפַּת הַיַּרְדֵּן כָּל שֶׁהוּא, וְאִם נָֽתַן בָּהּ דְּבַשׁ פְּסָלָהּ וְאִם חִסַּר אַחַת מִכָּל־סַמָּנֶֽיהָ חַיָּב מִיתָה:
רַבָּן שִׁמְעוֹן בֶּן גַּמְלִיאֵל אוֹמֵר הַצֳּרִי אֵינוֹ אֶלָּא שְׂרָף הַנּוֹטֵף מֵעֲצֵי הַקְּ֒טָף, בֹּרִית כַּרְשִׁינָה לָמָּה הִיא בָֽאָה כְּדֵי לְיַפּוֹת בָּהּ אֶת הַצִּפֹּרֶן כְּדֵי שֶׁתְּ֒הֵא נָאָה. יֵין קַפְרִיסִין לָמָּה הוּא בָא כְּדֵי לִשְׁרוֹת בּוֹ אֶת הַצִפֹּרֶן כְּדֵי שֶׁתְּ֒הֵא עַזָּה. וַהֲלֹא מֵי רַגְלַֽיִם יָפִין לָהּ אֶלָּא שֶׁאֵין מַכְנִיסִין מֵי רַגְלַֽיִם בַּמִּקְדָּשׁ מִפְּ֒נֵי הַכָּבוֹד:
תָּנָא דְבֵי אֵלִיָּֽהוּ כָּל הַשּׁוֹנֶה הֲלָכוֹת בְּכָל יוֹם מֻבְטָח לוֹ שֶׁהוּא בֶּן עוֹלָם הַבָּא שֶׁנֶּאֱמַר הֲלִיכוֹת עוֹלָם לוֹ אַל תִּקְרֵי הֲלִיכוֹת אֶלָּא הֲלָכוֹת:
אָמַר רַבִּי אֶלְעָזָר אָמַר רַבִּי חֲנִינָא. תַּלְמִידֵי חֲכָמִים מַרְבִּים שָׁלוֹם בָּעוֹלָם. שֶׁנֶּאֱמַר וְכָל בָּנַֽיִךְ לִמּוּדֵי יְהֹוָה וְרַב שְׁלוֹם בָּנָֽיךְ: אַל תִּקְרֵי בָּנָֽיךְ אֶלָּא בּוֹנָֽיךְ: שָׁלוֹם רָב לְאֹהֲבֵי תוֹרָתֶֽךָ וְאֵין לָֽמוֹ מִכְשׁוֹל: יְהִי שָׁלוֹם בְּחֵילֵךְ שַׁלְוָה בְּאַרְמְּנוֹתָֽיךְ לְמַֽעַן אַחַי וְרֵעָי אֲדַבְּרָה נָא שָׁלוֹם בָּךְ: לְמַֽעַן בֵּית יְהֹוָה אֱלֹהֵֽינוּ אֲבַקְ֒שָׁה טוֹב לָךְ: יְהֹוָה עוֹז לְעַמּוֹ יִתֵּן יְהֹוָה יְבָרֵךְ אֶת־עַמּוֹ בַּשָּׁלוֹם:</t>
        </is>
      </c>
      <c r="F234" s="10" t="inlineStr"/>
      <c r="G234" s="11" t="inlineStr">
        <is>
          <t>Siddur Ashkenaz, Weekday, Shacharit, Concluding Prayers, Korbanot (Israel), Pitum HaKetoret</t>
        </is>
      </c>
      <c r="H234" s="8" t="inlineStr">
        <is>
          <t>The Metsudah siddur, 1981 — CC-BY</t>
        </is>
      </c>
      <c r="I234" s="8" t="inlineStr">
        <is>
          <t>sefaria-siddur-ashkenaz-weekday-shacharit-concluding-prayers-korbanot-israel-pitum-haketoret</t>
        </is>
      </c>
    </row>
    <row r="235" ht="318" customHeight="1">
      <c r="A235" s="7">
        <f>IF(LEN(TRIM(F235))=0,"Approved","Comment to address")</f>
        <v/>
      </c>
      <c r="B235" s="12" t="inlineStr">
        <is>
          <t>Mourner's Kaddish</t>
        </is>
      </c>
      <c r="C235" s="12" t="inlineStr">
        <is>
          <t>daily</t>
        </is>
      </c>
      <c r="D235" s="12" t="inlineStr">
        <is>
          <t>Ashkenaz</t>
        </is>
      </c>
      <c r="E235" s="13"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מִן־שְׁמַיָּֽא וְחַיִּים עָלֵֽינוּ וְעַל־כָּל־יִשְׂרָאֵל וְאִמְרוּ אָמֵן:
עוֹשֶׂה שָׁלוֹם (בעשי"ת הַשָּׁלוֹם) בִּמְרוֹמָיו הוּא יַעֲשֶׂה שָׁלוֹם עָלֵֽינוּ וְעַל כָּל יִשְׂרָאֵל וְאִמְרוּ אָמֵן:</t>
        </is>
      </c>
      <c r="F235" s="10" t="inlineStr"/>
      <c r="G235" s="14" t="inlineStr">
        <is>
          <t>Siddur Ashkenaz, Weekday, Shacharit, Concluding Prayers, Korbanot (Israel), Mourner's Kaddish</t>
        </is>
      </c>
      <c r="H235" s="12" t="inlineStr">
        <is>
          <t>The Metsudah siddur, 1981 — CC-BY</t>
        </is>
      </c>
      <c r="I235" s="12" t="inlineStr">
        <is>
          <t>sefaria-siddur-ashkenaz-weekday-shacharit-concluding-prayers-korbanot-israel-mourner-s-kaddish</t>
        </is>
      </c>
    </row>
    <row r="236" ht="80" customHeight="1">
      <c r="A236" s="7">
        <f>IF(LEN(TRIM(F236))=0,"Approved","Comment to address")</f>
        <v/>
      </c>
      <c r="B236" s="8" t="inlineStr">
        <is>
          <t>Barchu</t>
        </is>
      </c>
      <c r="C236" s="8" t="inlineStr">
        <is>
          <t>daily</t>
        </is>
      </c>
      <c r="D236" s="8" t="inlineStr">
        <is>
          <t>Ashkenaz</t>
        </is>
      </c>
      <c r="E236" s="9" t="inlineStr">
        <is>
          <t>ואומר שליח צבור:
בָּרְ֒כוּ אֶת יְהֹוָה הַמְּ֒בֹרָךְ:
ועונין הקהל:
בָּרוּךְ יְהֹוָה הַמְּ֒בֹרָךְ לְעוֹלָם וָעֶד:</t>
        </is>
      </c>
      <c r="F236" s="10" t="inlineStr"/>
      <c r="G236" s="11" t="inlineStr">
        <is>
          <t>Siddur Ashkenaz, Weekday, Shacharit, Concluding Prayers, Korbanot (Israel), Barchu</t>
        </is>
      </c>
      <c r="H236" s="8" t="inlineStr">
        <is>
          <t>The Metsudah siddur, 1981 — CC-BY</t>
        </is>
      </c>
      <c r="I236" s="8" t="inlineStr">
        <is>
          <t>sefaria-siddur-ashkenaz-weekday-shacharit-concluding-prayers-korbanot-israel-barchu</t>
        </is>
      </c>
    </row>
    <row r="237" ht="409" customHeight="1">
      <c r="A237" s="7">
        <f>IF(LEN(TRIM(F237))=0,"Approved","Comment to address")</f>
        <v/>
      </c>
      <c r="B237" s="12" t="inlineStr">
        <is>
          <t>Thirteen Principles</t>
        </is>
      </c>
      <c r="C237" s="12" t="inlineStr">
        <is>
          <t>daily</t>
        </is>
      </c>
      <c r="D237" s="12" t="inlineStr">
        <is>
          <t>Ashkenaz</t>
        </is>
      </c>
      <c r="E237" s="13" t="inlineStr">
        <is>
          <t>אֲנִי מַאֲמִין בֶּאֱמוּנָה שְׁלֵמָה שֶׁהַבּוֹרֵא יִתְבָּרַךְ שְׁמוֹ הוּא בוֹרֵא וּמַנְהִיג לְכָל הַבְּ֒רוּאִים וְהוּא לְבַדּוֹ עָשָׂה וְעוֹשֶׂה וְיַעֲשֶׂה לְכָל הַמַּעֲשִׂים:
אֲנִי מַאֲמִין בֶּאֱמוּנָה שְׁלֵמָה שֶׁהַבּוֹרֵא יִתְבָּרַךְ שְׁמוֹ הוּא יָחִיד וְאֵין יְחִידוּת כָּמֽוֹהוּ בְּשׁוּם פָּנִים וְהוּא לְבַדּוֹ אֱלֺהֵֽינוּ הָיָה הֹוֶה וְיִהְיֶה:
אֲנִי מַאֲמִין בֶּאֱמוּנָה שְׁלֵמָה שֶׁהַבּוֹרֵא יִתְבָּרַךְ שְׁמוֹ אֵינוֹ גוּף וְלֺא יַשִּׂיגֽוּהוּ מַשִּׂיגֵי הַגּוּף וְאֵין לוֹ שׁוּם דִּמְיוֹן כְּלָל:
אֲנִי מַאֲמִין בֶּאֱמוּנָה שְׁלֵמָה שֶׁהַבּוֹרֵא יִתְבָּרַךְ שְׁמוֹ הוּא רִאשׁוֹן וְהוּא אַחֲרוֹן:
אֲנִי מַאֲמִין בֶּאֱמוּנָה שְׁלֵמָה שֶׁהַבּוֹרֵא יִתְבָּרַךְ שְׁמוֹ לוֹ לְבַדּוֹ רָאוּי לְהִתְפַּלֵּל וְאֵין רָאוּי לְהִתְפַּלֵּל לְזוּלָתוֹ:
אֲנִי מַאֲמִין בֶּאֱמוּנָה שְׁלֵמָה שֶׁכָּל דִּבְ֒רֵי נְבִיאִים אֱמֶת:
אֲנִי מַאֲמִין בֶּאֱמוּנָה שְׁלֵמָה שֶׁנְּ֒בוּאַת משֶׁה רַבֵּֽנוּ עָלָיו הַשָּׁלוֹם הָיְ֒תָה אֲמִתִּית וְשֶׁהוּא הָיָה אָב לַנְּ֒בִיאִים לַקּוֹדְ֒מִים לְפָנָיו וְלַבָּאִים אַחֲרָיו:
אֲנִי מַאֲמִין בֶּאֱמוּנָה שְׁלֵמָה שֶׁכָּל הַתּוֹרָה הַמְּ֒צוּיָה עַתָּה בְיָדֵֽינוּ הִיא הַנְּ֒תוּנָה לְמשֶׁה רַבֵּֽנוּ עָלָיו הַשָּׁלוֹם:
אֲנִי מַאֲמִין בֶּאֱמוּנָה שְׁלֵמָה שֶׁזֹּאת הַתּוֹרָה לֺא תְהֵא מֻחְלֶֽפֶת וְלֺא תְהֵא תוֹרָה אַחֶֽרֶת מֵאֵת הַבּוֹרֵא יִתְבָּרַךְ שְׁמוֹ:
אֲנִי מַאֲמִין בֶּאֱמוּנָה שְׁלֵמָה שֶׁהַבּוֹרֵא יִתְבָּרַךְ שְׁמוֹ יוֹדֵֽעַ כָּל מַעֲשֵׂה בְנֵי אָדָם וְכָל מַחְשְׁ֒בוֹתָם שֶׁנֶּאֱמַר הַיֹּצֵר יַֽחַד לִבָּם הַמֵּבִין אֶל כָּל מַעֲשֵׂיהֶם:
אֲנִי מַאֲמִין בֶּאֱמוּנָה שְׁלֵמָה שֶׁהַבּוֹרֵא יִתְבָּרַךְ שְׁמוֹ גּוֹמֵל טוֹב לְשׁוֹמְ֒רֵי מִצְוֹתָיו וּמַעֲנִישׁ לְעוֹבְ֒רֵי מִצְוֹתָיו:
אֲנִי מַאֲמִין בֶּאֱמוּנָה שְׁלֵמָה בְּבִיאַת הַמָּשִֽׁיחַ וְאַף עַל פִּי שֶׁיִּתְמַהְמֵֽהַּ עִם כָּל זֶה אֲחַכֶּה לּוֹ בְּכָל יוֹם שֶׁיָּבוֹא:
אֲנִי מַאֲמִין בֶּאֱמוּנָה שְׁלֵמָה שֶׁתִּהְיֶה תְּחִיַּת הַמֵּתִים בְּעֵת שֶׁיַּעֲלֶה רָצוֹן מֵאֵת הַבּוֹרֵא יִתְבָּרַךְ שְׁמוֹ וְיִתְעַלֶּה זִכְרוֹ לָעַד וּלְנֵֽצַח נְצָחִים:</t>
        </is>
      </c>
      <c r="F237" s="10" t="inlineStr"/>
      <c r="G237" s="14" t="inlineStr">
        <is>
          <t>Siddur Ashkenaz, Weekday, Shacharit, Post Service, Thirteen Principles</t>
        </is>
      </c>
      <c r="H237" s="12" t="inlineStr">
        <is>
          <t>The Metsudah siddur, 1981 — CC-BY</t>
        </is>
      </c>
      <c r="I237" s="12" t="inlineStr">
        <is>
          <t>sefaria-siddur-ashkenaz-weekday-shacharit-post-service-thirteen-principles</t>
        </is>
      </c>
    </row>
    <row r="238" ht="409" customHeight="1">
      <c r="A238" s="7">
        <f>IF(LEN(TRIM(F238))=0,"Approved","Comment to address")</f>
        <v/>
      </c>
      <c r="B238" s="8" t="inlineStr">
        <is>
          <t>Ashrei</t>
        </is>
      </c>
      <c r="C238" s="8" t="inlineStr">
        <is>
          <t>daily</t>
        </is>
      </c>
      <c r="D238" s="8" t="inlineStr">
        <is>
          <t>Ashkenaz</t>
        </is>
      </c>
      <c r="E238" s="9" t="inlineStr">
        <is>
          <t>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
ואומר החזן חצי קדיש: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t>
        </is>
      </c>
      <c r="F238" s="10" t="inlineStr"/>
      <c r="G238" s="11" t="inlineStr">
        <is>
          <t>Siddur Ashkenaz, Weekday, Minchah, Ashrei</t>
        </is>
      </c>
      <c r="H238" s="8" t="inlineStr">
        <is>
          <t>The Metsudah siddur, 1981 — CC-BY</t>
        </is>
      </c>
      <c r="I238" s="8" t="inlineStr">
        <is>
          <t>sefaria-siddur-ashkenaz-weekday-minchah-ashrei</t>
        </is>
      </c>
    </row>
    <row r="239" ht="318" customHeight="1">
      <c r="A239" s="7">
        <f>IF(LEN(TRIM(F239))=0,"Approved","Comment to address")</f>
        <v/>
      </c>
      <c r="B239" s="12" t="inlineStr">
        <is>
          <t>Keduasha</t>
        </is>
      </c>
      <c r="C239" s="12" t="inlineStr">
        <is>
          <t>daily</t>
        </is>
      </c>
      <c r="D239" s="12" t="inlineStr">
        <is>
          <t>Ashkenaz</t>
        </is>
      </c>
      <c r="E239" s="13" t="inlineStr">
        <is>
          <t>קהל וחזן:
נְקַדֵּשׁ אֶת־שִׁמְךָ בָּעוֹלָם כְּשֵׁם שֶׁמַּקְדִּישִׁים אוֹתוֹ בִּשְׁמֵי מָרוֹם. כַּכָּתוּב עַל־יַד נְבִיאֶֽךָ וְקָרָא זֶה אֶל־זֶה וְאָמַר:
קהל וחזן:
קָדוֹשׁ קָדוֹשׁ קָדוֹשׁ יְהֹוָה צְבָאוֹת מְלֹא כָל הָאָֽרֶץ כְּבוֹדוֹ:
שליח ציבור:
לְעֻמָּתָם בָּרוּךְ יֹאמֵֽרוּ:
קהל וחזן:
בָּרוּךְ כְּבוֹד־יְהֹוָה מִמְּ֒קוֹמוֹ:
שליח ציבור:
וּבְדִבְרֵי קָדְשְׁךָ כָּתוּב לֵאמֹר:
קהל וחזן:
יִמְלֹךְ יְהֹוָה לְעוֹלָם אֱלֹהַֽיִךְ צִיּוֹן לְדֹר וָדֹר הַלְ֒לוּיָהּ:
שליח ציבור:
לְדוֹר וָדוֹר נַגִּיד גָּדְלֶֽךָ וּלְנֵֽצַח נְצָחִים קְדֻשָּׁתְךָ נַקְדִּישׁ וְשִׁבְחֲךָ אֱלֹהֵֽינוּ מִפִּֽינוּ לֹא יָמוּשׁ לְעוֹלָם וָעֶד כִּי אֵל מֶֽלֶךְ גָּדוֹל וְקָדוֹשׁ אָֽתָּה: בָּרוּךְ אַתָּה יְהֹוָה הָאֵל הַקָּדוֹשׁ: בעשי"ת מסיים: בָּרוּךְ אַתָּה יְהֹוָה הַמֶּֽלֶךְ הַקָּדוֹשׁ:</t>
        </is>
      </c>
      <c r="F239" s="10" t="inlineStr"/>
      <c r="G239" s="14" t="inlineStr">
        <is>
          <t>Siddur Ashkenaz, Weekday, Minchah, Amida, Keduasha</t>
        </is>
      </c>
      <c r="H239" s="12" t="inlineStr">
        <is>
          <t>The Metsudah siddur, 1981 — CC-BY</t>
        </is>
      </c>
      <c r="I239" s="12" t="inlineStr">
        <is>
          <t>sefaria-siddur-ashkenaz-weekday-minchah-amida-keduasha</t>
        </is>
      </c>
    </row>
    <row r="240" ht="46" customHeight="1">
      <c r="A240" s="7">
        <f>IF(LEN(TRIM(F240))=0,"Approved","Comment to address")</f>
        <v/>
      </c>
      <c r="B240" s="8" t="inlineStr">
        <is>
          <t>Knowledge</t>
        </is>
      </c>
      <c r="C240" s="8" t="inlineStr">
        <is>
          <t>daily</t>
        </is>
      </c>
      <c r="D240" s="8" t="inlineStr">
        <is>
          <t>Ashkenaz</t>
        </is>
      </c>
      <c r="E240" s="9" t="inlineStr">
        <is>
          <t>אַתָּה חוֹנֵן לְאָדָם דַּֽעַת וּמְלַמֵּד לֶאֱנוֹשׁ בִּינָה: חָנֵּֽנוּ מֵאִתְּ֒ךָ דֵּעָה בִּינָה וְהַשְׂכֵּל: בָּרוּךְ אַתָּה יְהֹוָה חוֹנֵן הַדָּֽעַת:</t>
        </is>
      </c>
      <c r="F240" s="10" t="inlineStr"/>
      <c r="G240" s="11" t="inlineStr">
        <is>
          <t>Siddur Ashkenaz, Weekday, Minchah, Amida, Knowledge</t>
        </is>
      </c>
      <c r="H240" s="8" t="inlineStr">
        <is>
          <t>The Metsudah siddur, 1981 — CC-BY</t>
        </is>
      </c>
      <c r="I240" s="8" t="inlineStr">
        <is>
          <t>sefaria-siddur-ashkenaz-weekday-minchah-amida-knowledge</t>
        </is>
      </c>
    </row>
    <row r="241" ht="63" customHeight="1">
      <c r="A241" s="7">
        <f>IF(LEN(TRIM(F241))=0,"Approved","Comment to address")</f>
        <v/>
      </c>
      <c r="B241" s="12" t="inlineStr">
        <is>
          <t>Repentance</t>
        </is>
      </c>
      <c r="C241" s="12" t="inlineStr">
        <is>
          <t>repentance</t>
        </is>
      </c>
      <c r="D241" s="12" t="inlineStr">
        <is>
          <t>Ashkenaz</t>
        </is>
      </c>
      <c r="E241" s="13" t="inlineStr">
        <is>
          <t>הֲשִׁיבֵֽנוּ אָבִֽינוּ לְתוֹרָתֶֽךָ וְקָרְ֒בֵֽנוּ מַלְכֵּֽנוּ לַעֲבוֹדָתֶֽךָ וְהַחֲזִירֵֽנוּ בִּתְשׁוּבָה שְׁלֵמָה לְפָנֶֽיךָ: בָּרוּךְ אַתָּה יְהֹוָה הָרוֹצֶה בִּתְשׁוּבָה:</t>
        </is>
      </c>
      <c r="F241" s="10" t="inlineStr"/>
      <c r="G241" s="14" t="inlineStr">
        <is>
          <t>Siddur Ashkenaz, Weekday, Minchah, Amida, Repentance</t>
        </is>
      </c>
      <c r="H241" s="12" t="inlineStr">
        <is>
          <t>The Metsudah siddur, 1981 — CC-BY</t>
        </is>
      </c>
      <c r="I241" s="12" t="inlineStr">
        <is>
          <t>sefaria-siddur-ashkenaz-weekday-minchah-amida-repentance</t>
        </is>
      </c>
    </row>
    <row r="242" ht="63" customHeight="1">
      <c r="A242" s="7">
        <f>IF(LEN(TRIM(F242))=0,"Approved","Comment to address")</f>
        <v/>
      </c>
      <c r="B242" s="8" t="inlineStr">
        <is>
          <t>Forgiveness</t>
        </is>
      </c>
      <c r="C242" s="8" t="inlineStr">
        <is>
          <t>repentance</t>
        </is>
      </c>
      <c r="D242" s="8" t="inlineStr">
        <is>
          <t>Ashkenaz</t>
        </is>
      </c>
      <c r="E242" s="9" t="inlineStr">
        <is>
          <t>סְלַח לָֽנוּ אָבִֽינוּ כִּי חָטָֽאנוּ מְחַל לָֽנוּ מַלְכֵּֽנוּ כִּי פָשָֽׁעְנוּ כִּי מוֹחֵל וְסוֹלֵֽחַ אָֽתָּה: בָּרוּךְ אַתָּה יְהֹוָה חַנּוּן הַמַּרְבֶּה לִסְלֽוֹחַ:</t>
        </is>
      </c>
      <c r="F242" s="10" t="inlineStr"/>
      <c r="G242" s="11" t="inlineStr">
        <is>
          <t>Siddur Ashkenaz, Weekday, Minchah, Amida, Forgiveness</t>
        </is>
      </c>
      <c r="H242" s="8" t="inlineStr">
        <is>
          <t>The Metsudah siddur, 1981 — CC-BY</t>
        </is>
      </c>
      <c r="I242" s="8" t="inlineStr">
        <is>
          <t>sefaria-siddur-ashkenaz-weekday-minchah-amida-forgiveness</t>
        </is>
      </c>
    </row>
    <row r="243" ht="165" customHeight="1">
      <c r="A243" s="7">
        <f>IF(LEN(TRIM(F243))=0,"Approved","Comment to address")</f>
        <v/>
      </c>
      <c r="B243" s="12" t="inlineStr">
        <is>
          <t>Healing</t>
        </is>
      </c>
      <c r="C243" s="12" t="inlineStr">
        <is>
          <t>health</t>
        </is>
      </c>
      <c r="D243" s="12" t="inlineStr">
        <is>
          <t>Ashkenaz</t>
        </is>
      </c>
      <c r="E243" s="13" t="inlineStr">
        <is>
          <t>רְפָאֵֽנוּ יְהֹוָה וְנֵרָפֵא הוֹשִׁיעֵֽנוּ וְנִוָּשֵֽׁעָה כִּי תְהִלָּתֵֽנוּ אָֽתָּה וְהַעֲלֵה רְפוּאָה שְׁלֵמָה לְכָל מַכּוֹתֵֽינוּ
מי שרוצה להתפלל על החולה יאמר כאן תחנה זו:
יְהִי רָצוֹן מִלְּ֒פָנֶֽיךָ יְהֹוָה אֱלֹהֵֽינוּ וֵאלֹהֵי אֲבוֹתֵֽינוּ שֶׁתִּשְׁלַח מְהֵרָה רְפוּאָה שְׁלֵמָה מִן הַשָּׁמַֽיִם, רְפוּאַת הַנֶּֽפֶשׁ וּרְפוּאַת הַגּוּף, לַחוֹלֶה (פלוני/פלונית) בֶּן/בַּת (פלונית) בְּתוֹךְ שְׁאָר חוֹלֵי יִשְׂרָאֵל:
כִּי אֵל מֶֽלֶךְ רוֹפֵא נֶאֱמָן וְרַחֲמָן אָֽתָּה: בָּרוּךְ אַתָּה יְהֹוָה רוֹפֵא חוֹלֵי עַמּוֹ יִשְׂרָאֵל:</t>
        </is>
      </c>
      <c r="F243" s="10" t="inlineStr"/>
      <c r="G243" s="14" t="inlineStr">
        <is>
          <t>Siddur Ashkenaz, Weekday, Minchah, Amida, Healing</t>
        </is>
      </c>
      <c r="H243" s="12" t="inlineStr">
        <is>
          <t>The Metsudah siddur, 1981 — CC-BY</t>
        </is>
      </c>
      <c r="I243" s="12" t="inlineStr">
        <is>
          <t>sefaria-siddur-ashkenaz-weekday-minchah-amida-healing</t>
        </is>
      </c>
    </row>
    <row r="244" ht="63" customHeight="1">
      <c r="A244" s="7">
        <f>IF(LEN(TRIM(F244))=0,"Approved","Comment to address")</f>
        <v/>
      </c>
      <c r="B244" s="8" t="inlineStr">
        <is>
          <t>Gathering the Exiles</t>
        </is>
      </c>
      <c r="C244" s="8" t="inlineStr">
        <is>
          <t>daily</t>
        </is>
      </c>
      <c r="D244" s="8" t="inlineStr">
        <is>
          <t>Ashkenaz</t>
        </is>
      </c>
      <c r="E244" s="9" t="inlineStr">
        <is>
          <t>תְּקַע בְּשׁוֹפָר גָּדוֹל לְחֵרוּתֵֽנוּ וְשָׂא נֵס לְקַבֵּץ גָּלֻיּוֹתֵֽינוּ וְקַבְּ֒צֵֽנוּ יַֽחַד מֵאַרְבַּע כַּנְפוֹת הָאָֽרֶץ: בָּרוּךְ אַתָּה יְהֹוָה מְקַבֵּץ נִדְחֵי עַמּוֹ יִשְׂרָאֵל:</t>
        </is>
      </c>
      <c r="F244" s="10" t="inlineStr"/>
      <c r="G244" s="11" t="inlineStr">
        <is>
          <t>Siddur Ashkenaz, Weekday, Minchah, Amida, Gathering the Exiles</t>
        </is>
      </c>
      <c r="H244" s="8" t="inlineStr">
        <is>
          <t>The Metsudah siddur, 1981 — CC-BY</t>
        </is>
      </c>
      <c r="I244" s="8" t="inlineStr">
        <is>
          <t>sefaria-siddur-ashkenaz-weekday-minchah-amida-gathering-the-exiles</t>
        </is>
      </c>
    </row>
    <row r="245" ht="80" customHeight="1">
      <c r="A245" s="7">
        <f>IF(LEN(TRIM(F245))=0,"Approved","Comment to address")</f>
        <v/>
      </c>
      <c r="B245" s="12" t="inlineStr">
        <is>
          <t>Against Enemies</t>
        </is>
      </c>
      <c r="C245" s="12" t="inlineStr">
        <is>
          <t>daily</t>
        </is>
      </c>
      <c r="D245" s="12" t="inlineStr">
        <is>
          <t>Ashkenaz</t>
        </is>
      </c>
      <c r="E245" s="13" t="inlineStr">
        <is>
          <t>וְלַמַּלְשִׁינִים אַל תְּהִי תִקְוָה וְכָל הָרִשְׁעָה כְּרֶֽגַע תֹּאבֵד וְכָל אֹיְבֶֽיךָ מְהֵרָה יִכָּרֵֽתוּ וְהַזֵּדִים מְהֵרָה תְעַקֵּר וּתְשַׁבֵּר וּתְמַגֵּר וְתַכְנִֽיעַ בִּמְהֵרָה בְיָמֵֽינוּ: בָּרוּךְ אַתָּה יְהֹוָה שׁוֹבֵר אֹיְ֒בִים וּמַכְנִֽיעַ זֵדִים:</t>
        </is>
      </c>
      <c r="F245" s="10" t="inlineStr"/>
      <c r="G245" s="14" t="inlineStr">
        <is>
          <t>Siddur Ashkenaz, Weekday, Minchah, Amida, Against Enemies</t>
        </is>
      </c>
      <c r="H245" s="12" t="inlineStr">
        <is>
          <t>The Metsudah siddur, 1981 — CC-BY</t>
        </is>
      </c>
      <c r="I245" s="12" t="inlineStr">
        <is>
          <t>sefaria-siddur-ashkenaz-weekday-minchah-amida-against-enemies</t>
        </is>
      </c>
    </row>
    <row r="246" ht="97" customHeight="1">
      <c r="A246" s="7">
        <f>IF(LEN(TRIM(F246))=0,"Approved","Comment to address")</f>
        <v/>
      </c>
      <c r="B246" s="8" t="inlineStr">
        <is>
          <t>The Righteous</t>
        </is>
      </c>
      <c r="C246" s="8" t="inlineStr">
        <is>
          <t>daily</t>
        </is>
      </c>
      <c r="D246" s="8" t="inlineStr">
        <is>
          <t>Ashkenaz</t>
        </is>
      </c>
      <c r="E246" s="9" t="inlineStr">
        <is>
          <t>עַל־הַצַּדִּיקִים וְעַל־הַחֲסִידִים וְעַל־זִקְנֵי עַמְּ֒ךָ בֵּית יִשְׂרָאֵל וְעַל פְּלֵיטַת סוֹפְ֒רֵיהֶם וְעַל גֵּרֵי הַצֶּֽדֶק וְעָלֵֽינוּ יֶהֱמוּ רַחֲמֶֽיךָ יְהֹוָה אֱלֹהֵֽינוּ וְתֵן שָׂכָר טוֹב לְכָל הַבּוֹטְ֒חִים בְּשִׁמְךָ בֶּאֱמֶת וְשִׂים חֶלְקֵֽנוּ עִמָּהֶם לְעוֹלָם וְלֹא נֵבוֹשׁ כִּי בְךָ בָּטָֽחְנוּ: בָּרוּךְ אַתָּה יְהֹוָה מִשְׁעָן וּמִבְטָח לַצַּדִּיקִים:</t>
        </is>
      </c>
      <c r="F246" s="10" t="inlineStr"/>
      <c r="G246" s="11" t="inlineStr">
        <is>
          <t>Siddur Ashkenaz, Weekday, Minchah, Amida, The Righteous</t>
        </is>
      </c>
      <c r="H246" s="8" t="inlineStr">
        <is>
          <t>The Metsudah siddur, 1981 — CC-BY</t>
        </is>
      </c>
      <c r="I246" s="8" t="inlineStr">
        <is>
          <t>sefaria-siddur-ashkenaz-weekday-minchah-amida-the-righteous</t>
        </is>
      </c>
    </row>
    <row r="247" ht="284" customHeight="1">
      <c r="A247" s="7">
        <f>IF(LEN(TRIM(F247))=0,"Approved","Comment to address")</f>
        <v/>
      </c>
      <c r="B247" s="12" t="inlineStr">
        <is>
          <t>Rebuilding Jerusalem</t>
        </is>
      </c>
      <c r="C247" s="12" t="inlineStr">
        <is>
          <t>daily</t>
        </is>
      </c>
      <c r="D247" s="12" t="inlineStr">
        <is>
          <t>Ashkenaz</t>
        </is>
      </c>
      <c r="E247" s="13" t="inlineStr">
        <is>
          <t>וְלִירוּשָׁלַֽיִם עִירְ֒ךָ בְּרַחֲמִים תָּשׁוּב וְתִשְׁכּוֹן בְּתוֹכָהּ כַּאֲשֶׁר דִּבַּֽרְתָּ וּבְנֵה אוֹתָהּ בְּקָרוֹב בְּיָמֵֽינוּ בִּנְיַן עוֹלָם וְכִסֵּא דָוִד מְהֵרָה לְתוֹכָהּ תָּכִין:
במנחת תשעה באב:
נַחֵם יְהֹוָה אֱלֹהֵֽינוּ אֶת אֲבֵלֵי צִיּוֹן וְאֶת אֲבֵלֵי יְרוּשָׁלָֽיִם. וְאֶת הָעִיר הָאֲבֵלָה וְהַחֲרֵבָה וְהַבְּ֒זוּיָה וְהַשּוֹמֵמָה. הָאֲבֵלָה מִבְּ֒לִי בָנֶֽיהָ. וְהַחֲרֵבָה מִמְּ֒עוֹנוֹתֶֽיהָ. וְהַבְּ֒זוּיָה מִכְּ֒בוֹדָהּ. וְהַשוֹמֵמָה מֵאֵין יוֹשֵׁב. וְהִיא יוֹשֶֽׁבֶת וְרֹאשָׁהּ חָפוּי כְּאִשָּׁה עֲקָרָה שֶׁלֹּא יָלָֽדָה. וַיְבַלְּ֒עֽוּהָ לִיגְיוֹנוֹת. וְיִירָשֽׁוּהָ עוֹבְ֒דֵי פְסִילִים. וַיָטִּֽילוֹ אֶת עַמְּ֒ךָ יִשְׂרָאֵל לֶחָֽרֶב. וַיַּהַרְגוּ בְזָדוֹן חֲסִידֵי עֶלְיוֹן. עַל כֵּן צִיּוֹן בְּמַר תִבְכֶּה. וִירוּשָׁלַֽיִם תִּתֵּן קוֹלָהּ. לִבִּי לִבִּי עַל חַלְלֵיהֶם. מֵעַי מֵעַי עַל חַלְלֵיהֶם. כִּי אַתָּה יְהֹוָה בָּאֵשׁ הִצַּתָּהּ. וּבָאֵשׁ אַתָּה עָתִיד לִבְנוֹתָהּ. כָּאָמוּר וַאֲנִי אֶהְיֶה לָהּ נְאֻם יְהֹוָה חוֹמַת אֵשׁ סָבִיב וּלְכָבוֹד אֶהְיֶה בְּתוֹכָהּ: בָּרוּךְ אַתָּה יְהֹוָה מְנַחֵם צִיּוֹן וּבוֹנֵה יְרוּשָׁלָֽיִם:
בָּרוּךְ אַתָּה יְהֹוָה בּוֹנֵה יְרוּשָׁלָֽיִם:</t>
        </is>
      </c>
      <c r="F247" s="10" t="inlineStr"/>
      <c r="G247" s="14" t="inlineStr">
        <is>
          <t>Siddur Ashkenaz, Weekday, Minchah, Amida, Rebuilding Jerusalem</t>
        </is>
      </c>
      <c r="H247" s="12" t="inlineStr">
        <is>
          <t>The Metsudah siddur, 1981 — CC-BY</t>
        </is>
      </c>
      <c r="I247" s="12" t="inlineStr">
        <is>
          <t>sefaria-siddur-ashkenaz-weekday-minchah-amida-rebuilding-jerusalem</t>
        </is>
      </c>
    </row>
    <row r="248" ht="63" customHeight="1">
      <c r="A248" s="7">
        <f>IF(LEN(TRIM(F248))=0,"Approved","Comment to address")</f>
        <v/>
      </c>
      <c r="B248" s="8" t="inlineStr">
        <is>
          <t>Kingdom of David</t>
        </is>
      </c>
      <c r="C248" s="8" t="inlineStr">
        <is>
          <t>daily</t>
        </is>
      </c>
      <c r="D248" s="8" t="inlineStr">
        <is>
          <t>Ashkenaz</t>
        </is>
      </c>
      <c r="E248" s="9" t="inlineStr">
        <is>
          <t>אֶת־צֶֽמַח דָּוִד עַבְדְּ֒ךָ מְהֵרָה תַצְמִֽיחַ וְקַרְנוֹ תָּרוּם בִּישׁוּעָתֶֽךָ כִּי לִישׁוּעָתְ֒ךָ קִוִּֽינוּ כָּל הַיּוֹם: בָּרוּךְ אַתָּה יְהֹוָה מַצְמִֽיחַ קֶֽרֶן יְשׁוּעָה:</t>
        </is>
      </c>
      <c r="F248" s="10" t="inlineStr"/>
      <c r="G248" s="11" t="inlineStr">
        <is>
          <t>Siddur Ashkenaz, Weekday, Minchah, Amida, Kingdom of David</t>
        </is>
      </c>
      <c r="H248" s="8" t="inlineStr">
        <is>
          <t>The Metsudah siddur, 1981 — CC-BY</t>
        </is>
      </c>
      <c r="I248" s="8" t="inlineStr">
        <is>
          <t>sefaria-siddur-ashkenaz-weekday-minchah-amida-kingdom-of-david</t>
        </is>
      </c>
    </row>
    <row r="249" ht="216" customHeight="1">
      <c r="A249" s="7">
        <f>IF(LEN(TRIM(F249))=0,"Approved","Comment to address")</f>
        <v/>
      </c>
      <c r="B249" s="12" t="inlineStr">
        <is>
          <t>Response to Prayer</t>
        </is>
      </c>
      <c r="C249" s="12" t="inlineStr">
        <is>
          <t>daily</t>
        </is>
      </c>
      <c r="D249" s="12" t="inlineStr">
        <is>
          <t>Ashkenaz</t>
        </is>
      </c>
      <c r="E249" s="13" t="inlineStr">
        <is>
          <t>שְׁמַע קוֹלֵֽנוּ יְהֹוָה אֱלֹהֵֽינוּ חוּס וְרַחֵם עָלֵֽינוּ וְקַבֵּל בְּרַחֲמִים וּבְרָצוֹן אֶת־תְּפִלָּתֵֽנוּ כִּי אֵל שׁוֹמֵֽעַ תְּפִלּוֹת וְתַחֲנוּנִים אָֽתָּה וּמִלְּפָנֶֽיךָ מַלְכֵּֽנוּ רֵיקָם אַל־תְּשִׁיבֵֽנוּ
בתענית ציבור אומרים כאן עננו בתפילת הלחש:
עֲנֵֽנוּ יְהֹוָה עֲנֵֽנוּ בְּיוֹם צוֹם תַּעֲנִיתֵֽנוּ. כִּי בְצָרָה גְדוֹלָה אֲנָֽחְנוּ. אַל־תֵּֽפֶן אֶל־רִשְׁעֵֽנוּ וְאַל־תַּסְתֵּר פָּנֶֽיךָ מִמֶּֽנּוּ וְאַל־תִּתְעַלַּם מִתְּ֒חִנָּתֵֽנוּ. הֱיֵה נָא קָרוֹב לְשַׁוְעָתֵֽנוּ. יְהִי־נָא חַסְדְּ֒ךָ לְנַחֲמֵֽנוּ. טֶֽרֶם נִקְרָא אֵלֶֽיךָ עֲנֵֽנוּ. כַּדָּבָר שֶׁנֶּאֱמַר וְהָיָה טֶֽרֶם יִקְרָֽאוּ וַאֲנִי אֶעֱנֶה. עוֹד הֵם מְדַבְּ֒רִים וַאֲנִי אֶשְׁמָע. כִּי אַתָּה יְהֹוָה הָעוֹנֶה בְּעֵת צָרָה. פּוֹדֶה וּמַצִּיל בְּכָל־עֵת צָרָה וְצוּקָה:
כִּי אַתָּה שׁוֹמֵֽעַ תְּפִלַּת עַמְּךָ יִשְׂרָאֵל בְּרַחֲמִים: בָּרוּךְ אַתָּה יְהֹוָה שׁוֹמֵֽעַ תְּפִלָּה:</t>
        </is>
      </c>
      <c r="F249" s="10" t="inlineStr"/>
      <c r="G249" s="14" t="inlineStr">
        <is>
          <t>Siddur Ashkenaz, Weekday, Minchah, Amida, Response to Prayer</t>
        </is>
      </c>
      <c r="H249" s="12" t="inlineStr">
        <is>
          <t>The Metsudah siddur, 1981 — CC-BY</t>
        </is>
      </c>
      <c r="I249" s="12" t="inlineStr">
        <is>
          <t>sefaria-siddur-ashkenaz-weekday-minchah-amida-response-to-prayer</t>
        </is>
      </c>
    </row>
    <row r="250" ht="352" customHeight="1">
      <c r="A250" s="7">
        <f>IF(LEN(TRIM(F250))=0,"Approved","Comment to address")</f>
        <v/>
      </c>
      <c r="B250" s="8" t="inlineStr">
        <is>
          <t>Temple Service</t>
        </is>
      </c>
      <c r="C250" s="8" t="inlineStr">
        <is>
          <t>daily</t>
        </is>
      </c>
      <c r="D250" s="8" t="inlineStr">
        <is>
          <t>Ashkenaz</t>
        </is>
      </c>
      <c r="E250" s="9" t="inlineStr">
        <is>
          <t>רְצֵה יְהֹוָה אֱלֹהֵֽינוּ בְּעַמְּ֒ךָ יִשְׂרָאֵל וּבִתְפִלָּתָם וְהָשֵׁב אֶת הָעֲבוֹדָה לִדְבִיר בֵּיתֶֽךָ וְאִשֵּׁי יִשְׂרָאֵל וּתְפִלָּתָם בְּאַהֲבָה תְקַבֵּל בְּרָצוֹן וּתְהִי לְרָצוֹן תָּמִיד עֲבוֹדַת יִשְׂרָאֵל עַמֶּֽךָ:
בראש חדש ובחול המועד אומרים זה: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לר"ח: רֹאשׁ הַחֹֽדֶשׁ הַזֶּה: לפסח: חַג הַמַּצּוֹת הַזֶּה: לסכות: חַג הַסֻּכּוֹת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שכח ולא אמר יעלה ויבא אם נזכר קודם שאמר יהיו לרצון חוזר ומתחיל רצה. ואפלו אם נזכר קודם שהתחיל מודים כיון שסים ברכת המחזיר שכינתו לציון צריך להתחיל רצה. אך אם נזכר קודם ברכת המחזיר שכינתו לציון אומרו שם ומסים ותחזינה עינינו וכו'. ואם לא נזכר עד לאחר יהיו לרצון וגו' חוזר לראש התפלה.
וְתֶחֱזֶֽינָה עֵינֵֽינוּ בְּשׁוּבְ֒ךָ לְצִיּוֹן בְּרַחֲמִים: בָּרוּךְ אַתָּה יְהֹוָה הַמַּחֲזִיר שְׁכִינָתוֹ לְצִיּוֹן:</t>
        </is>
      </c>
      <c r="F250" s="10" t="inlineStr"/>
      <c r="G250" s="11" t="inlineStr">
        <is>
          <t>Siddur Ashkenaz, Weekday, Minchah, Amida, Temple Service</t>
        </is>
      </c>
      <c r="H250" s="8" t="inlineStr">
        <is>
          <t>The Metsudah siddur, 1981 — CC-BY</t>
        </is>
      </c>
      <c r="I250" s="8" t="inlineStr">
        <is>
          <t>sefaria-siddur-ashkenaz-weekday-minchah-amida-temple-service</t>
        </is>
      </c>
    </row>
    <row r="251" ht="131" customHeight="1">
      <c r="A251" s="7">
        <f>IF(LEN(TRIM(F251))=0,"Approved","Comment to address")</f>
        <v/>
      </c>
      <c r="B251" s="12" t="inlineStr">
        <is>
          <t>Birkat Kohanim</t>
        </is>
      </c>
      <c r="C251" s="12" t="inlineStr">
        <is>
          <t>daily</t>
        </is>
      </c>
      <c r="D251" s="12" t="inlineStr">
        <is>
          <t>Ashkenaz</t>
        </is>
      </c>
      <c r="E251" s="13" t="inlineStr">
        <is>
          <t>בתענית ציבור אומר כאן הש"ץ ברכת כהנים:
שליח ציבור:
אֱלֹהֵֽינוּ וֵאלֹהֵי אֲבוֹתֵֽינוּ בָּרְ֒כֵֽנוּ בַבְּ֒רָכָה הַמְּ֒שֻׁלֶּֽשֶׁת בַּתּוֹרָה הַכְּ֒תוּבָה עַל יְדֵי משֶׁה עַבְדֶּֽךָ, הָאֲמוּרָה מִפִּי אַהֲרֹן וּבָנָיו כֹּהֲנִים עַם קְדוֹשֶֽׁךָ כָּאָמוּר: יְבָרֶכְ֒ךָ יְהֹוָה וְיִשְׁמְ֒רֶֽךָ: יָאֵר יְהֹוָה פָּנָיו אֵלֶֽיךָ וִיחֻנֶּֽךָּ: יִשָּׂא יְהֹוָה פָּנָיו אֵלֶֽיךָ וְיָשֵׂם לְךָ שָׁלוֹם:</t>
        </is>
      </c>
      <c r="F251" s="10" t="inlineStr"/>
      <c r="G251" s="14" t="inlineStr">
        <is>
          <t>Siddur Ashkenaz, Weekday, Minchah, Amida, Birkat Kohanim</t>
        </is>
      </c>
      <c r="H251" s="12" t="inlineStr">
        <is>
          <t>The Metsudah siddur, 1981 — CC-BY</t>
        </is>
      </c>
      <c r="I251" s="12" t="inlineStr">
        <is>
          <t>sefaria-siddur-ashkenaz-weekday-minchah-amida-birkat-kohanim</t>
        </is>
      </c>
    </row>
    <row r="252" ht="284" customHeight="1">
      <c r="A252" s="7">
        <f>IF(LEN(TRIM(F252))=0,"Approved","Comment to address")</f>
        <v/>
      </c>
      <c r="B252" s="8" t="inlineStr">
        <is>
          <t>Concluding Passage</t>
        </is>
      </c>
      <c r="C252" s="8" t="inlineStr">
        <is>
          <t>daily</t>
        </is>
      </c>
      <c r="D252" s="8" t="inlineStr">
        <is>
          <t>Ashkenaz</t>
        </is>
      </c>
      <c r="E252" s="9" t="inlineStr">
        <is>
          <t>יִהְיוּ לְרָצוֹן אִמְרֵי פִי וְהֶגְיוֹן לִבִּי לְפָנֶֽיךָ יְהֹוָה צוּרִי וְגוֹאֲלִי:
אֱלֹהַי נְצוֹר לְשׁוֹנִי מֵרָע וּשְׂפָתַי מִדַּבֵּר מִרְמָה. וְלִמְקַלְ֒לַי נַפְשִׁי תִדּוֹם וְנַפְשִׁי כֶּעָפָר לַכֹּל תִּהְיֶה. פְּתַח לִבִּי בְּתוֹרָתֶֽךָ וּבְמִצְוֹתֶֽיךָ תִּרְדֹּף נַפְשִׁי. וְכֹל הַחוֹשְׁ֒בִים עָלַי רָעָה מְהֵרָה הָפֵר עֲצָתָם וְקַלְקֵל מַחֲשַׁבְתָּם: עֲשֵׂה לְמַֽעַן שְׁמֶֽךָ עֲשֵׂה לְמַֽעַן יְמִינֶֽךָ עֲשֵׂה לְמַֽעַן קְדֻשָּׁתֶֽךָ עֲשֵׂה לְמַֽעַן תּוֹרָתֶֽךָ. לְמַֽעַן יֵחָלְ֒צוּן יְדִידֶֽיךָ הוֹשִֽׁיעָה יְמִינְ֒ךָ וַעֲנֵֽנִי: יִהְיוּ לְרָצוֹן אִמְרֵי פִי וְהֶגְיוֹן לִבִּי לְפָנֶֽיךָ יְהֹוָה צוּרִי וְגוֹאֲלִי:
עֹשֶׂה (בעשי"ת הַשָּׁלוֹם) שָׁלוֹם בִּמְרוֹמָיו הוּא יַעֲשֶׂה שָׁלוֹם עָלֵֽינוּ וְעַל כָּל־יִשְׂרָאֵל וְאִמְרוּ אָמֵן:
יְהִי רָצוֹן מִלְּ֒פָנֶֽיךָ יְהֹוָה אֱלֹהֵֽינוּ וֵאלֹהֵי אֲבוֹתֵֽינוּ שֶׁיִּבָּנֶה בֵּית הַמִּקְדָּשׁ בִּמְהֵרָה בְיָמֵֽינוּ וְתֵן חֶלְקֵֽנוּ בְּתוֹרָתֶֽךָ: וְשָׁם נַעֲבָדְךָ בְּיִרְאָה כִּימֵי עוֹלָם וּכְשָׁנִים קַדְמוֹנִיּוֹת: וְעָרְ֒בָה לַיהוָֹה מִנְחַת יְהוּדָה וִירוּשָׁלָֽםִ כִּימֵי עוֹלָם וּכְשָׁנִים קַדְמוֹנִיּוֹת:
בימים שאין אומרים בהם תחנון יאמר הש"ץ חצי קדיש.</t>
        </is>
      </c>
      <c r="F252" s="10" t="inlineStr"/>
      <c r="G252" s="11" t="inlineStr">
        <is>
          <t>Siddur Ashkenaz, Weekday, Minchah, Amida, Concluding Passage</t>
        </is>
      </c>
      <c r="H252" s="8" t="inlineStr">
        <is>
          <t>The Metsudah siddur, 1981 — CC-BY</t>
        </is>
      </c>
      <c r="I252" s="8" t="inlineStr">
        <is>
          <t>sefaria-siddur-ashkenaz-weekday-minchah-amida-concluding-passage</t>
        </is>
      </c>
    </row>
    <row r="253" ht="216" customHeight="1">
      <c r="A253" s="7">
        <f>IF(LEN(TRIM(F253))=0,"Approved","Comment to address")</f>
        <v/>
      </c>
      <c r="B253" s="12" t="inlineStr">
        <is>
          <t>Nefilat Appayim</t>
        </is>
      </c>
      <c r="C253" s="12" t="inlineStr">
        <is>
          <t>repentance</t>
        </is>
      </c>
      <c r="D253" s="12" t="inlineStr">
        <is>
          <t>Ashkenaz</t>
        </is>
      </c>
      <c r="E253" s="13" t="inlineStr">
        <is>
          <t>וַיֹּֽאמֶר דָּוִד אֶל־גָּד צַר־לִי מְאֹד נִפְּ֒לָה־נָּא בְיַד־יְהֹוָה כִּי־רַבִּים רַחֲמָיו וּבְיַד־אָדָם אַל־אֶפֹּֽלָה:
רַחוּם וְחַנּוּן חָטָֽאתִי לְפָנֶֽיךָ יְהֹוָה מָלֵא רַחֲמִים רַחֵם עָלַי וְקַבֵּל תַּחֲנוּנָי: יְהֹוָה אַל־בְּאַפְּ֒ךָ תוֹכִיחֵֽנִי וְאַל־בַּחֲמָתְ֒ךָ תְיַסְּ֒רֵֽנִי: חָנֵּֽנִי יְהֹוָה כִּי אֻמְלַל אָֽנִי רְפָאֵֽנִי יְהֹוָה כִּי נִבְהֲלוּ עֲצָמָי: וְנַפְשִׁי נִבְהֲלָה מְאֹד וְאַתָּה יְהֹוָה עַד־מָתָי: שׁוּבָה יְהֹוָה חַלְּ֒צָה נַפְשִׁי הוֹשִׁיעֵֽנִי לְמַֽעַן חַסְדֶּֽךָ: כִּי אֵין בַּמָּֽוֶת זִכְרֶךָ בִּשְׁ֒אוֹל מִי־יוֹדֶה לָּךְ: יָגַֽעְתִּי־בְּאַנְחָתִי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t>
        </is>
      </c>
      <c r="F253" s="10" t="inlineStr"/>
      <c r="G253" s="14" t="inlineStr">
        <is>
          <t>Siddur Ashkenaz, Weekday, Minchah, Post Amidah, Tachanun, Nefilat Appayim</t>
        </is>
      </c>
      <c r="H253" s="12" t="inlineStr">
        <is>
          <t>The Metsudah siddur, 1981 — CC-BY</t>
        </is>
      </c>
      <c r="I253" s="12" t="inlineStr">
        <is>
          <t>sefaria-siddur-ashkenaz-weekday-minchah-post-amidah-tachanun-nefilat-appayim</t>
        </is>
      </c>
    </row>
    <row r="254" ht="284" customHeight="1">
      <c r="A254" s="7">
        <f>IF(LEN(TRIM(F254))=0,"Approved","Comment to address")</f>
        <v/>
      </c>
      <c r="B254" s="8" t="inlineStr">
        <is>
          <t>Shomer Yisrael</t>
        </is>
      </c>
      <c r="C254" s="8" t="inlineStr">
        <is>
          <t>repentance</t>
        </is>
      </c>
      <c r="D254" s="8" t="inlineStr">
        <is>
          <t>Ashkenaz</t>
        </is>
      </c>
      <c r="E254" s="9" t="inlineStr">
        <is>
          <t>שׁוֹמֵר יִשְׂרָאֵל שְׁמוֹר שְׁאֵרִית יִשְׂרָאֵל וְאַל יֹאבַד יִשְׂרָאֵל הָאֹמְ֒רִים שְׁמַע יִשְׂרָאֵל:
שׁוֹמֵר גּוֹי אֶחָד שְׁמוֹר שְׁאֵרִית עַם אֶחָד וְאַל יֹאבַד גּוֹי אֶחָד הַמְיַחֲדִים שִׁמְךָ יְהֹוָה אֱלֺהֵֽינוּ יְהֹוָה אֶחָד:
שׁוֹמֵר גּוֹי קָדוֹשׁ שְׁמוֹר שְׁאֵרִית עַם קָדוֹשׁ וְאַל יֹאבַד גּוֹי קָדוֹשׁ הַמְשַׁלְּ֒שִׁים בְּשָׁלשׁ קְדֻשּׁוֹת לְקָדוֹשׁ:
מִתְרַצֶּה בְּרַחֲמִים וּמִתְפַּיֵּס בְּתַחֲנוּנִים הִתְרַצֶּה וְהִתְפַּיֵּס לְדוֹר עָנִי כִּי אֵין עוֹזֵר: אָבִֽינוּ מַלְכֵּֽנוּ חָנֵּֽנוּ וַעֲנֵֽנוּ כִּי אֵין בָּֽנוּ מַעֲשִׂים עֲשֵׂה עִמָּֽנוּ צְדָקָה וָחֶֽסֶד וְהוֹשִׁיעֵֽנוּ:
וַאֲנַֽחְנוּ לֺא נֵדַע מַה נַּעֲשֶׂה כִּי עָלֶֽיךָ עֵינֵֽינוּ: זְכֹר רַחֲמֶֽיךָ יְהֹוָה וַחֲסָדֶֽיךָ כִּי מֵעוֹלָם הֵֽמָּה: יְהִי חַסְדְּךָ יְהֹוָה עָלֵֽינוּ כַּאֲשֶׁר יִחַֽלְנוּ לָךְ: אַל תִּזְכָּר לָֽנוּ עֲוֹנוֹת רִאשׁוֹנִים מַהֵר יְקַדְּמֽוּנוּ רַחֲמֶֽיךָ כִּי דַלּֽוֹנוּ מְאֹד: חָנֵּֽנוּ יְהֹוָה חָנֵּֽנוּ כִּי־רַב שָׂבַֽעְנוּ בוּז: בְּרֺֽגֶז רַחֵם תִּזְכּוֹר: כִּי הוּא יָדַע יִצְרֵֽנוּ זָכוּר כִּי עָפָר אֲנָֽחְנוּ: עָזְרֵֽנוּ אֱלֺהֵי יִשְׁעֵֽנוּ עַל־דְּבַר כְּבוֹד־שְׁמֶֽךָ וְהַצִּילֵֽנוּ וְכַפֵּר עַל־חַטֹּאתֵֽינוּ לְמַֽעַן שְׁמֶֽךָ:</t>
        </is>
      </c>
      <c r="F254" s="10" t="inlineStr"/>
      <c r="G254" s="11" t="inlineStr">
        <is>
          <t>Siddur Ashkenaz, Weekday, Minchah, Post Amidah, Tachanun, Shomer Yisrael</t>
        </is>
      </c>
      <c r="H254" s="8" t="inlineStr">
        <is>
          <t>The Metsudah siddur, 1981 — CC-BY</t>
        </is>
      </c>
      <c r="I254" s="8" t="inlineStr">
        <is>
          <t>sefaria-siddur-ashkenaz-weekday-minchah-post-amidah-tachanun-shomer-yisrael</t>
        </is>
      </c>
    </row>
    <row r="255" ht="267" customHeight="1">
      <c r="A255" s="7">
        <f>IF(LEN(TRIM(F255))=0,"Approved","Comment to address")</f>
        <v/>
      </c>
      <c r="B255" s="12" t="inlineStr">
        <is>
          <t>Kaddish Shalem</t>
        </is>
      </c>
      <c r="C255" s="12" t="inlineStr">
        <is>
          <t>daily</t>
        </is>
      </c>
      <c r="D255" s="12" t="inlineStr">
        <is>
          <t>Ashkenaz</t>
        </is>
      </c>
      <c r="E255" s="13"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תִּתְקַבֵּל צְלוֹתְ֒הוֹן וּבָעוּתְ֒הוֹן דְּכָל בֵּית יִשְׂרָאֵל קֳדָם אֲבוּהוֹן דִּי בִשְׁ֒מַיָּא וְאִמְרוּ אָמֵן:
יְהֵא שְׁלָמָֽא רַבָּֽא מִן־שְׁמַיָּֽא וְחַיִּים עָלֵֽינוּ וְעַל־כָּל־יִשְׂרָאֵל וְאִמְרוּ אָמֵן:
עוֹשֶׂה שָׁלוֹם (בעשי"ת הַשָּׁלוֹם) בִּמְרוֹמָיו הוּא יַעֲשֶׂה שָׁלוֹם עָלֵֽינוּ וְעַל כָּל יִשְׂרָאֵל וְאִמְרוּ אָמֵן:</t>
        </is>
      </c>
      <c r="F255" s="10" t="inlineStr"/>
      <c r="G255" s="14" t="inlineStr">
        <is>
          <t>Siddur Ashkenaz, Weekday, Minchah, Post Amidah, Kaddish Shalem</t>
        </is>
      </c>
      <c r="H255" s="12" t="inlineStr">
        <is>
          <t>The Metsudah siddur, 1981 — CC-BY</t>
        </is>
      </c>
      <c r="I255" s="12" t="inlineStr">
        <is>
          <t>sefaria-siddur-ashkenaz-weekday-minchah-post-amidah-kaddish-shalem</t>
        </is>
      </c>
    </row>
    <row r="256" ht="352" customHeight="1">
      <c r="A256" s="7">
        <f>IF(LEN(TRIM(F256))=0,"Approved","Comment to address")</f>
        <v/>
      </c>
      <c r="B256" s="8" t="inlineStr">
        <is>
          <t>Alenu</t>
        </is>
      </c>
      <c r="C256" s="8" t="inlineStr">
        <is>
          <t>daily</t>
        </is>
      </c>
      <c r="D256" s="8" t="inlineStr">
        <is>
          <t>Ashkenaz</t>
        </is>
      </c>
      <c r="E256" s="9"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t>
        </is>
      </c>
      <c r="F256" s="10" t="inlineStr"/>
      <c r="G256" s="11" t="inlineStr">
        <is>
          <t>Siddur Ashkenaz, Weekday, Minchah, Concluding Prayers, Alenu</t>
        </is>
      </c>
      <c r="H256" s="8" t="inlineStr">
        <is>
          <t>The Metsudah siddur, 1981 — CC-BY</t>
        </is>
      </c>
      <c r="I256" s="8" t="inlineStr">
        <is>
          <t>sefaria-siddur-ashkenaz-weekday-minchah-concluding-prayers-alenu</t>
        </is>
      </c>
    </row>
    <row r="257" ht="233" customHeight="1">
      <c r="A257" s="7">
        <f>IF(LEN(TRIM(F257))=0,"Approved","Comment to address")</f>
        <v/>
      </c>
      <c r="B257" s="12" t="inlineStr">
        <is>
          <t>Mourner's Kaddish</t>
        </is>
      </c>
      <c r="C257" s="12" t="inlineStr">
        <is>
          <t>daily</t>
        </is>
      </c>
      <c r="D257" s="12" t="inlineStr">
        <is>
          <t>Ashkenaz</t>
        </is>
      </c>
      <c r="E257" s="13"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257" s="10" t="inlineStr"/>
      <c r="G257" s="14" t="inlineStr">
        <is>
          <t>Siddur Ashkenaz, Weekday, Minchah, Concluding Prayers, Mourner's Kaddish</t>
        </is>
      </c>
      <c r="H257" s="12" t="inlineStr">
        <is>
          <t>The Metsudah siddur, 1981 — CC-BY</t>
        </is>
      </c>
      <c r="I257" s="12" t="inlineStr">
        <is>
          <t>sefaria-siddur-ashkenaz-weekday-minchah-concluding-prayers-mourner-s-kaddish</t>
        </is>
      </c>
    </row>
    <row r="258" ht="97" customHeight="1">
      <c r="A258" s="7">
        <f>IF(LEN(TRIM(F258))=0,"Approved","Comment to address")</f>
        <v/>
      </c>
      <c r="B258" s="8" t="inlineStr">
        <is>
          <t>Vehu Rachum</t>
        </is>
      </c>
      <c r="C258" s="8" t="inlineStr">
        <is>
          <t>daily</t>
        </is>
      </c>
      <c r="D258" s="8" t="inlineStr">
        <is>
          <t>Ashkenaz</t>
        </is>
      </c>
      <c r="E258" s="9" t="inlineStr">
        <is>
          <t>כשיגיע הלילה יתפלל תפלת ערבית. ואינה חובה שלא נתקנה אלא כנגד איברים ופדרים של תמיד של בין הערבים שלא נתעכלו ביום שקרבין והולכין כל הלילה. ומ"מ מצוה איכא ואין לבטלה. ורב אלפס כתב דהאידנא קבעוה חובה ואין לבטלה כלל (טור או"ח רל"ה)
וְהוּא רַחוּם יְכַפֵּר עָוֹן וְלֹא־יַשְׁחִית וְהִרְבָּה לְהָשִׁיב אַפּוֹ וְלֹא־יָעִיר כָּל־חֲמָתוֹ: יְהֹוָה הוֹשִׁיעָה הַמֶּֽלֶךְ יַעֲנֵֽנוּ בְיוֹם־קָרְאֵֽנוּ:</t>
        </is>
      </c>
      <c r="F258" s="10" t="inlineStr"/>
      <c r="G258" s="11" t="inlineStr">
        <is>
          <t>Siddur Ashkenaz, Weekday, Maariv, Vehu Rachum</t>
        </is>
      </c>
      <c r="H258" s="8" t="inlineStr">
        <is>
          <t>The Metsudah siddur, 1981 — CC-BY</t>
        </is>
      </c>
      <c r="I258" s="8" t="inlineStr">
        <is>
          <t>sefaria-siddur-ashkenaz-weekday-maariv-vehu-rachum</t>
        </is>
      </c>
    </row>
    <row r="259" ht="80" customHeight="1">
      <c r="A259" s="7">
        <f>IF(LEN(TRIM(F259))=0,"Approved","Comment to address")</f>
        <v/>
      </c>
      <c r="B259" s="12" t="inlineStr">
        <is>
          <t>Barchu</t>
        </is>
      </c>
      <c r="C259" s="12" t="inlineStr">
        <is>
          <t>daily</t>
        </is>
      </c>
      <c r="D259" s="12" t="inlineStr">
        <is>
          <t>Ashkenaz</t>
        </is>
      </c>
      <c r="E259" s="13" t="inlineStr">
        <is>
          <t>ואומר שליח צבור:
בָּרְ֒כוּ אֶת יְהֹוָה הַמְ֒בֹרָךְ:
ועונין הקהל:
בָּרוּךְ יְהֹוָה הַמְ֒בֹרָךְ לְעוֹלָם וָעֶד:</t>
        </is>
      </c>
      <c r="F259" s="10" t="inlineStr"/>
      <c r="G259" s="14" t="inlineStr">
        <is>
          <t>Siddur Ashkenaz, Weekday, Maariv, Barchu</t>
        </is>
      </c>
      <c r="H259" s="12" t="inlineStr">
        <is>
          <t>The Metsudah siddur, 1981 — CC-BY</t>
        </is>
      </c>
      <c r="I259" s="12" t="inlineStr">
        <is>
          <t>sefaria-siddur-ashkenaz-weekday-maariv-barchu</t>
        </is>
      </c>
    </row>
    <row r="260" ht="131" customHeight="1">
      <c r="A260" s="7">
        <f>IF(LEN(TRIM(F260))=0,"Approved","Comment to address")</f>
        <v/>
      </c>
      <c r="B260" s="8" t="inlineStr">
        <is>
          <t>First Blessing before Shema</t>
        </is>
      </c>
      <c r="C260" s="8" t="inlineStr">
        <is>
          <t>daily</t>
        </is>
      </c>
      <c r="D260" s="8" t="inlineStr">
        <is>
          <t>Ashkenaz</t>
        </is>
      </c>
      <c r="E260" s="9" t="inlineStr">
        <is>
          <t>בָּרוּךְ אַתָּה יְהֹוָה אֱלֹהֵֽינוּ מֶֽלֶךְ הָעוֹלָם אֲשֶׁר בִּדְבָרוֹ מַעֲרִיב עֲרָבִים בְּחָכְמָה פּוֹתֵֽחַ שְׁעָרִים וּבִתְבוּנָה מְשַׁנֶּה עִתִּים וּמַחֲלִיף אֶת־הַזְּ֒מַנִּים וּמְסַדֵּר אֶת־הַכּוֹכָבִים בְּמִשְׁמְ֒רוֹתֵיהֶם בָּרָקִֽיעַ כִּרְצוֹנוֹ: בּוֹרֵא יוֹם וָלָֽיְלָה גּוֹלֵל אוֹר מִפְּ֒נֵי חֽשֶׁךְ וְחֽשֶׁךְ מִפְּ֒נֵי אוֹר וּמַעֲבִיר יוֹם וּמֵבִיא לָֽיְלָה וּמַבְדִּיל בֵּין יוֹם וּבֵין לָֽיְלָה יְהֹוָה צְבָאוֹת שְׁמוֹ: אֵל חַי וְקַיָּם תָּמִיד יִמְלֹךְ עָלֵֽינוּ לְעוֹלָם וָעֶד: בָּרוּךְ אַתָּה יְהֹוָה הַמַּעֲרִיב עֲרָבִים:</t>
        </is>
      </c>
      <c r="F260" s="10" t="inlineStr"/>
      <c r="G260" s="11" t="inlineStr">
        <is>
          <t>Siddur Ashkenaz, Weekday, Maariv, Blessings of the Shema, First Blessing before Shema</t>
        </is>
      </c>
      <c r="H260" s="8" t="inlineStr">
        <is>
          <t>The Metsudah siddur, 1981 — CC-BY</t>
        </is>
      </c>
      <c r="I260" s="8" t="inlineStr">
        <is>
          <t>sefaria-siddur-ashkenaz-weekday-maariv-blessings-of-the-shema-first-blessing-before-shema</t>
        </is>
      </c>
    </row>
    <row r="261" ht="114" customHeight="1">
      <c r="A261" s="7">
        <f>IF(LEN(TRIM(F261))=0,"Approved","Comment to address")</f>
        <v/>
      </c>
      <c r="B261" s="12" t="inlineStr">
        <is>
          <t>Second Blessing before Shema</t>
        </is>
      </c>
      <c r="C261" s="12" t="inlineStr">
        <is>
          <t>daily</t>
        </is>
      </c>
      <c r="D261" s="12" t="inlineStr">
        <is>
          <t>Ashkenaz</t>
        </is>
      </c>
      <c r="E261" s="13" t="inlineStr">
        <is>
          <t>אַהֲבַת עוֹלָם בֵּית יִשְׂרָאֵל עַמְּ֒ךָ אָהָֽבְתָּ תּוֹרָה וּמִצְוֹת חֻקִּים וּמִשְׁפָּטִים אוֹתָֽנוּ לִמַּֽדְתָּ: עַל כֵּן יְהֹוָה אֱלֹהֵֽינוּ בְּשָׁכְבֵֽנוּ וּבְקוּמֵֽנוּ נָשִֽׂיחַ בְּחֻקֶּֽיךָ וְנִשְׂמַח בְּדִבְרֵי תוֹרָתֶֽךָ וּבְמִצְוֹתֶֽיךָ לְעוֹלָם וָעֶד: כִּי הֵם חַיֵּֽינוּ וְאֹֽרֶךְ יָמֵֽינוּ וּבָהֶם נֶהְגֶּה יוֹמָם וָלָֽיְלָה: וְאַהֲבָתְ֒ךָ אַל תָּסִיר מִמֶּֽנּוּ לְעוֹלָמִים: בָּרוּךְ אַתָּה יְהֹוָה אוֹהֵב עַמּוֹ יִשְׂרָאֵל:</t>
        </is>
      </c>
      <c r="F261" s="10" t="inlineStr"/>
      <c r="G261" s="14" t="inlineStr">
        <is>
          <t>Siddur Ashkenaz, Weekday, Maariv, Blessings of the Shema, Second Blessing before Shema</t>
        </is>
      </c>
      <c r="H261" s="12" t="inlineStr">
        <is>
          <t>The Metsudah siddur, 1981 — CC-BY</t>
        </is>
      </c>
      <c r="I261" s="12" t="inlineStr">
        <is>
          <t>sefaria-siddur-ashkenaz-weekday-maariv-blessings-of-the-shema-second-blessing-before-shema</t>
        </is>
      </c>
    </row>
    <row r="262" ht="335" customHeight="1">
      <c r="A262" s="7">
        <f>IF(LEN(TRIM(F262))=0,"Approved","Comment to address")</f>
        <v/>
      </c>
      <c r="B262" s="8" t="inlineStr">
        <is>
          <t>First Blessing after Shema</t>
        </is>
      </c>
      <c r="C262" s="8" t="inlineStr">
        <is>
          <t>daily</t>
        </is>
      </c>
      <c r="D262" s="8" t="inlineStr">
        <is>
          <t>Ashkenaz</t>
        </is>
      </c>
      <c r="E262" s="9" t="inlineStr">
        <is>
          <t>אמת ואמונה אינה פותחת בברוך דהויא סמוכה לחבירתה דק"ש לא הוי הפסק (טור או"ח רלו)
וֶאֱמוּנָה כָּל־זֹאת וְקַיָּם עָלֵֽינוּ כִּי הוּא יְהֹוָה אֱלֹהֵֽינוּ וְאֵין זוּלָתוֹ וַאֲנַֽחְנוּ יִשְׂרָאֵל עַמּוֹ: הַפּוֹדֵֽנוּ מִיַּד מְלָכִים מַלְכֵּֽנוּ הַגּוֹאֲלֵֽנוּ מִכַּף כָּל־הֶעָרִיצִים: הָאֵל הַנִּפְרָע לָֽנוּ מִצָּרֵֽינוּ וְהַמְשַׁלֵּם גְּמוּל לְכָל אֹיְ֒בֵי נַפְשֵֽׁנוּ: הָעֹשֶׂה גְדוֹלוֹת עַד־אֵין חֵֽקֶר וְנִפְלָאוֹת עַד־אֵין מִסְפָּר: הַשָּׂם נַפְשֵֽׁנוּ בַּחַיִּים וְלֹא־נָתַן לַמּוֹט רַגְלֵֽנוּ הַמַּדְרִיכֵֽנוּ עַל בָּמוֹת אֹיְ֒בֵֽינוּ וַיָּֽרֶם קַרְנֵֽנוּ עַל כָּל־שׂוֹנְ֒אֵֽינוּ: הָעֹֽשֶׂה לָּֽנוּ נִסִּים וּנְקָמָה בְּפַרְעֹה אוֹתוֹת וּמוֹפְ֒תִים בְּאַדְמַת בְּנֵי חָם: הַמַּכֶּה בְעֶבְרָתוֹ כָּל בְּכוֹרֵי מִצְרָֽיִם וַיּוֹצֵא אֶת־עַמּוֹ יִשְׂרָאֵל מִתּוֹכָם לְחֵרוּת עוֹלָם: הַמַּעֲבִיר בָּנָיו בֵּין גִּזְרֵי יַם סוּף אֶת־רוֹדְ֒פֵיהֶם וְאֶת־שׂוֹנְ֒אֵיהֶם בִּתְהוֹמוֹת טִבַּע: וְרָאוּ בָנָיו גְּבוּרָתוֹ שִׁבְּ֒חוּ וְהוֹדוּ לִשְׁמוֹ: וּמַלְכוּתוֹ בְרָצוֹן קִבְּ֒לוּ עֲלֵיהֶם משֶׁה וּבְנֵי יִשְׂרָאֵל לְךָ עָנוּ שִׁירָה בְּשִׂמְחָה רַבָּה וְאָמְ֒רוּ כֻלָּם:
מִי כָמֹֽכָה בָּאֵלִם יְהֹוָה מִי כָּמֹֽכָה נֶאְדָּר בַּקֹּֽדֶשׁ נוֹרָא תְהִלֹּת עֹֽשֵׂה פֶֽלֶא: מַלְכוּתְךָ רָאוּ בָנֶֽיךָ בּוֹקֵֽעַ יָם לִפְנֵי משֶׁה זֶה אֵלִי עָנוּ וְאָמְ֒רוּ:
יְהֹוָה יִמְלֹךְ לְעֹלָם וָעֶד: וְנֶאֱמַר כִּי־פָדָה יְהֹוָה אֶת יַעֲקֹב וּגְאָלוֹ מִיַּד חָזָק מִמֶּֽנּוּ. בָּרוּךְ אַתָּה יְהֹוָה גָּאַל יִשְׂרָאֵל:</t>
        </is>
      </c>
      <c r="F262" s="10" t="inlineStr"/>
      <c r="G262" s="11" t="inlineStr">
        <is>
          <t>Siddur Ashkenaz, Weekday, Maariv, Blessings of the Shema, First Blessing after Shema</t>
        </is>
      </c>
      <c r="H262" s="8" t="inlineStr">
        <is>
          <t>The Metsudah siddur, 1981 — CC-BY</t>
        </is>
      </c>
      <c r="I262" s="8" t="inlineStr">
        <is>
          <t>sefaria-siddur-ashkenaz-weekday-maariv-blessings-of-the-shema-first-blessing-after-shema</t>
        </is>
      </c>
    </row>
    <row r="263" ht="199" customHeight="1">
      <c r="A263" s="7">
        <f>IF(LEN(TRIM(F263))=0,"Approved","Comment to address")</f>
        <v/>
      </c>
      <c r="B263" s="12" t="inlineStr">
        <is>
          <t>Second Blessing after Shema</t>
        </is>
      </c>
      <c r="C263" s="12" t="inlineStr">
        <is>
          <t>daily</t>
        </is>
      </c>
      <c r="D263" s="12" t="inlineStr">
        <is>
          <t>Ashkenaz</t>
        </is>
      </c>
      <c r="E263" s="13" t="inlineStr">
        <is>
          <t>אומר השכיבנו וחותם שומר את עמו ישראל לעד מפני שלילה צריכה שימור מן המזיקין. ואע"ג דקי"ל כרבי יוחנן דאמר שצריך לסמוך אף גאולה של ערבית לתפלת ערבית השכיבנו לא הוי הפסק דכיון דתקינו ליה רבנן כגאולה אריכתא (טור או"ח רלו)
הַשְׁכִּיבֵֽנוּ יְהֹוָה אֱלֹהֵֽינוּ לְשָׁלוֹם וְהַעֲמִידֵֽנוּ מַלְכֵּֽנוּ לְחַיִּים וּפְרוֹשׂ עָלֵֽינוּ סֻכַּת שְׁלוֹמֶֽךָ וְתַקְּ֒נֵֽנוּ בְּעֵצָה טוֹבָה מִלְּ֒פָנֶֽיךָ וְהוֹשִׁיעֵֽנוּ לְמַֽעַן שְׁמֶֽךָ וְהָגֵן בַּעֲדֵֽנוּ וְהָסֵר מֵעָלֵֽינוּ אוֹיֵב דֶּֽבֶר וְחֶֽרֶב וְרָעָב וְיָגוֹן וְהָסֵר שָׂטָן מִלְּ֒פָנֵֽינוּ וּמֵאַחֲרֵֽינוּ וּבְצֵל כְּנָפֶֽיךָ תַּסְתִּירֵֽנוּ כִּי אֵל שׁוֹמְ֒רֵֽנוּ וּמַצִּילֵֽנוּ אָֽתָּה כִּי אֵל מֶֽלֶךְ חַנּוּן וְרַחוּם אָֽתָּה וּשְׁמוֹר צֵאתֵֽנוּ וּבוֹאֵֽנוּ לְחַיִּים וּלְשָׁלוֹם מֵעַתָּה וְעַד עוֹלָם: בָּרוּךְ אַתָּה יְהֹוָה שׁוֹמֵר עַמּוֹ יִשְׂרָאֵל לָעַד:</t>
        </is>
      </c>
      <c r="F263" s="10" t="inlineStr"/>
      <c r="G263" s="14" t="inlineStr">
        <is>
          <t>Siddur Ashkenaz, Weekday, Maariv, Blessings of the Shema, Second Blessing after Shema</t>
        </is>
      </c>
      <c r="H263" s="12" t="inlineStr">
        <is>
          <t>The Metsudah siddur, 1981 — CC-BY</t>
        </is>
      </c>
      <c r="I263" s="12" t="inlineStr">
        <is>
          <t>sefaria-siddur-ashkenaz-weekday-maariv-blessings-of-the-shema-second-blessing-after-shema</t>
        </is>
      </c>
    </row>
    <row r="264" ht="409" customHeight="1">
      <c r="A264" s="7">
        <f>IF(LEN(TRIM(F264))=0,"Approved","Comment to address")</f>
        <v/>
      </c>
      <c r="B264" s="8" t="inlineStr">
        <is>
          <t>Third Blessing after Shema</t>
        </is>
      </c>
      <c r="C264" s="8" t="inlineStr">
        <is>
          <t>daily</t>
        </is>
      </c>
      <c r="D264" s="8" t="inlineStr">
        <is>
          <t>Ashkenaz</t>
        </is>
      </c>
      <c r="E264" s="9" t="inlineStr">
        <is>
          <t>מה שנוהגין להפסיק בפסוקים ויראו עינינו וקדיש לפי שבימים ראשונים היו בתי כנסיות שלהם בשדות והיו יראים להתאחר שם עד זמן תפלת ערבית ותיקנו לומר פסוקים אלו שיש בהם י"ח אזכרות כנגד י"ח ברכות שיש בתפלת ערבית ונפטרין בקדיש ועתה שחזרו להתפלל ערבית בבתי כנסיות לא נתבטל מנהג הראשון ומ"מ אין להפסיק בדברים אחרים ויש מן הגדולים שנהגו שלא לאמרם (טור או"ח רלו)
בָּרוּךְ יְהֹוָה לְעוֹלָם אָמֵן וְאָמֵן: בָּרוּךְ יְהֹוָה מִצִּיּוֹן שֹׁכֵן יְרוּשָׁלָֽםִ הַלְ֒לוּיָהּ: בָּרוּךְ יְהֹוָה אֱלֹהִים אֱלֹהֵי יִשְׂרָאֵל עֹשֵׂה נִפְלָאוֹת לְבַדּוֹ: וּבָרוּךְ שֵׁם כְּבוֹדוֹ לְעוֹלָם וְיִמָּלֵא כְבוֹדוֹ אֶת־כָּל־הָאָֽרֶץ אָמֵן וְאָמֵן: יְהִי כְבוֹד יְהֹוָה לְעוֹלָם יִשְׂמַח יְהֹוָה בְּמַעֲשָׂיו: יְהִי שֵׁם יְהֹוָה מְבֹרָךְ מֵעַתָּה וְעַד־עוֹלָם: כִּי לֹא יִטּשׁ יְהֹוָה אֶת־עַמּוֹ בַּעֲבוּר שְׁמוֹ הַגָּדוֹל כִּי הוֹאִיל יְהֹוָה לַעֲשׂוֹת אֶתְכֶם לוֹ לְעָם: וַיַּרְא כָּל־הָעָם וַיִּפְּ֒לוּ עַל פְּנֵיהֶם וַיֹּאמְ֒רוּ יְהֹוָה הוּא הָאֱלֹהִים יְהֹוָה הוּא הָאֱלֹהִים: וְהָיָה יְהֹוָה לְמֶֽלֶךְ עַל כָּל־הָאָֽרֶץ בַּיּוֹם הַהוּא יִהְיֶה יְהֹוָה אֶחָד וּשְׁמוֹ אֶחָד: יְהִי־חַסְדְּ֒ךָ יְהֹוָה עָלֵֽינוּ כַּאֲשֶׁר יִחַֽלְנוּ לָךְ: הוֹשִׁיעֵֽנוּ יְהֹוָה אֱלֹהֵֽינוּ וְקַבְּ֒צֵֽנוּ מִן־הַגּוֹיִם לְהוֹדוֹת לְשֵׁם קָדְשֶֽׁךָ לְהִשְׁתַּבֵּֽחַ בִּתְהִלָּתֶֽךָ: כָּל־גּוֹיִם אֲשֶׁר עָשִֽׂיתָ יָבֹֽאוּ וְיִשְׁתַּחֲווּ לְפָנֶֽיךָ אֲדֹנָי וִיכַבְּ֒דוּ לִשְׁמֶֽךָ: כִּי־גָדוֹל אַתָּה וְעֹשֵׂה נִפְלָאוֹת אַתָּה אֱלֹהִים לְבַדֶּֽךָ: וַאֲנַֽחְנוּ עַמְּ֒ךָ וְצֹאן מַרְעִיתֶֽךָ נוֹדֶה לְּךָ לְעוֹלָם לְדוֹר וָדוֹר נְסַפֵּר תְּהִלָּתֶֽךָ: בָּרוּךְ יְהֹוָה בַּיּוֹם בָּרוּךְ יְהֹוָה בַּלָּֽיְלָה בָּרוּךְ יְהֹוָה בְּשָׁכְבֵֽנוּ בָּרוּךְ יְהֹוָה בְּקוּמֵֽנוּ: כִּי בְיָדְ֒ךָ נַפְשׁוֹת הַחַיִּים וְהַמֵּתִים אֲשֶׁר בְּיָדוֹ נֶֽפֶשׁ כָּל־חָי וְרֽוּחַ כָּל־בְּשַׂר־אִישׁ: בְּיָדְ֒ךָ אַפְקִיד רוּחִי פָּדִֽיתָה אוֹתִי יְהֹוָה אֵל אֱמֶת: אֱלֹהֵֽינוּ שֶׁבַּשָּׁמַֽיִם יַחֵד שִׁמְךָ וְקַיֵּם מַלְכוּתְ֒ךָ תָּמִיד וּמְלֹךְ עָלֵֽינוּ לְעוֹלָם וָעֶד:
יִרְאוּ עֵינֵֽינוּ וְיִשְׂמַח לִבֵּֽנוּ וְתָגֵל נַפְשֵֽׁנוּ בִּישׁוּעָתְ֒ךָ בֶּאֱמֶת בֶּאֱמֹר לְצִיּוֹן מָלַךְ אֱלֹהָֽיִךְ: יְהֹוָה מֶֽלֶךְ יְהֹוָה מָלָךְ יְהֹוָה יִמְלֹךְ לְעוֹלָם וָעֶד: כִּי הַמַּלְכוּת שֶׁלְּ֒ךָ הִיא וּלְעֽוֹלְ֒מֵי עַד תִּמְלֹךְ בְּכָבוֹד כִּי אֵין לָֽנוּ מֶֽלֶךְ אֶלָּא אָֽתָּה: בָּרוּךְ אַתָּה יְהֹוָה הַמֶּֽלֶךְ בִּכְבוֹדוֹ תָּמִיד יִמְלוֹךְ עָלֵֽינוּ לְעוֹלָם וָעֶד וְעַל כָּל מַעֲשָׂיו:</t>
        </is>
      </c>
      <c r="F264" s="10" t="inlineStr"/>
      <c r="G264" s="11" t="inlineStr">
        <is>
          <t>Siddur Ashkenaz, Weekday, Maariv, Blessings of the Shema, Third Blessing after Shema</t>
        </is>
      </c>
      <c r="H264" s="8" t="inlineStr">
        <is>
          <t>The Metsudah siddur, 1981 — CC-BY</t>
        </is>
      </c>
      <c r="I264" s="8" t="inlineStr">
        <is>
          <t>sefaria-siddur-ashkenaz-weekday-maariv-blessings-of-the-shema-third-blessing-after-shema</t>
        </is>
      </c>
    </row>
    <row r="265" ht="182" customHeight="1">
      <c r="A265" s="7">
        <f>IF(LEN(TRIM(F265))=0,"Approved","Comment to address")</f>
        <v/>
      </c>
      <c r="B265" s="12" t="inlineStr">
        <is>
          <t>Half Kaddish</t>
        </is>
      </c>
      <c r="C265" s="12" t="inlineStr">
        <is>
          <t>daily</t>
        </is>
      </c>
      <c r="D265" s="12" t="inlineStr">
        <is>
          <t>Ashkenaz</t>
        </is>
      </c>
      <c r="E265" s="13" t="inlineStr">
        <is>
          <t>ואומר שליח צבור חצי קדיש: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t>
        </is>
      </c>
      <c r="F265" s="10" t="inlineStr"/>
      <c r="G265" s="14" t="inlineStr">
        <is>
          <t>Siddur Ashkenaz, Weekday, Maariv, Blessings of the Shema, Half Kaddish</t>
        </is>
      </c>
      <c r="H265" s="12" t="inlineStr">
        <is>
          <t>The Metsudah siddur, 1981 — CC-BY</t>
        </is>
      </c>
      <c r="I265" s="12" t="inlineStr">
        <is>
          <t>sefaria-siddur-ashkenaz-weekday-maariv-blessings-of-the-shema-half-kaddish</t>
        </is>
      </c>
    </row>
    <row r="266" ht="165" customHeight="1">
      <c r="A266" s="7">
        <f>IF(LEN(TRIM(F266))=0,"Approved","Comment to address")</f>
        <v/>
      </c>
      <c r="B266" s="8" t="inlineStr">
        <is>
          <t>Knowledge</t>
        </is>
      </c>
      <c r="C266" s="8" t="inlineStr">
        <is>
          <t>daily</t>
        </is>
      </c>
      <c r="D266" s="8" t="inlineStr">
        <is>
          <t>Ashkenaz</t>
        </is>
      </c>
      <c r="E266" s="9" t="inlineStr">
        <is>
          <t>אַתָּה חוֹנֵן לְאָדָם דַּֽעַת וּמְלַמֵּד לֶאֱנוֹשׁ בִּינָה:
אַתָּה חוֹנַנְתָּֽנוּ לְמַדַּע תּוֹרָתֶֽךָ. וַתְּ֒לַמְּ֒דֵֽנוּ לַעֲשׂוֹת חֻקֵּי רְצוֹנֶֽךָ. וַתַּבְדֵּל יְהֹוָה אֱלֹהֵֽינוּ בֵּין קֹֽדֶשׁ לְחֹל בֵּין אוֹר לְחֽשֶׁךְ בֵּין יִשְׂרָאֵל לָעַמִּים בֵּין יוֹם הַשְּׁ֒בִיעִי לְשֵֽׁשֶׁת יְמֵי הַמַּעֲשֶׂה. אָבִֽינוּ מַלְכֵּֽנוּ הָחֵל עָלֵֽינוּ הַיָּמִים הַבָּאִים לִקְרָאתֵֽנוּ לְשָׁלוֹם חֲשׂוּכִים מִכָּל חֵטְא וּמְנֻקִּים מִכָּל עָוֹן וּמְדֻבָּקִים בְּיִרְאָתֶֽךָ: וְ...
חָנֵּֽנוּ מֵאִתְּךָ דֵּעָה בִּינָה וְהַשְׂכֵּל: בָּרוּךְ אַתָּה יְהֹוָה חוֹנֵן הַדָּֽעַת:</t>
        </is>
      </c>
      <c r="F266" s="10" t="inlineStr"/>
      <c r="G266" s="11" t="inlineStr">
        <is>
          <t>Siddur Ashkenaz, Weekday, Maariv, Amidah, Knowledge</t>
        </is>
      </c>
      <c r="H266" s="8" t="inlineStr">
        <is>
          <t>The Metsudah siddur, 1981 — CC-BY</t>
        </is>
      </c>
      <c r="I266" s="8" t="inlineStr">
        <is>
          <t>sefaria-siddur-ashkenaz-weekday-maariv-amidah-knowledge</t>
        </is>
      </c>
    </row>
    <row r="267" ht="63" customHeight="1">
      <c r="A267" s="7">
        <f>IF(LEN(TRIM(F267))=0,"Approved","Comment to address")</f>
        <v/>
      </c>
      <c r="B267" s="12" t="inlineStr">
        <is>
          <t>Repentance</t>
        </is>
      </c>
      <c r="C267" s="12" t="inlineStr">
        <is>
          <t>repentance</t>
        </is>
      </c>
      <c r="D267" s="12" t="inlineStr">
        <is>
          <t>Ashkenaz</t>
        </is>
      </c>
      <c r="E267" s="13" t="inlineStr">
        <is>
          <t>הֲשִׁיבֵֽנוּ אָבִֽינוּ לְתוֹרָתֶֽךָ וְקָרְ֒בֵֽנוּ מַלְכֵּֽנוּ לַעֲבוֹדָתֶֽךָ וְהַחֲזִירֵֽנוּ בִּתְשׁוּבָה שְׁלֵמָה לְפָנֶֽיךָ: בָּרוּךְ אַתָּה יְהֹוָה הָרוֹצֶה בִּתְשׁוּבָה:</t>
        </is>
      </c>
      <c r="F267" s="10" t="inlineStr"/>
      <c r="G267" s="14" t="inlineStr">
        <is>
          <t>Siddur Ashkenaz, Weekday, Maariv, Amidah, Repentance</t>
        </is>
      </c>
      <c r="H267" s="12" t="inlineStr">
        <is>
          <t>The Metsudah siddur, 1981 — CC-BY</t>
        </is>
      </c>
      <c r="I267" s="12" t="inlineStr">
        <is>
          <t>sefaria-siddur-ashkenaz-weekday-maariv-amidah-repentance</t>
        </is>
      </c>
    </row>
    <row r="268" ht="63" customHeight="1">
      <c r="A268" s="7">
        <f>IF(LEN(TRIM(F268))=0,"Approved","Comment to address")</f>
        <v/>
      </c>
      <c r="B268" s="8" t="inlineStr">
        <is>
          <t>Forgiveness</t>
        </is>
      </c>
      <c r="C268" s="8" t="inlineStr">
        <is>
          <t>repentance</t>
        </is>
      </c>
      <c r="D268" s="8" t="inlineStr">
        <is>
          <t>Ashkenaz</t>
        </is>
      </c>
      <c r="E268" s="9" t="inlineStr">
        <is>
          <t>סְלַח לָֽנוּ אָבִֽינוּ כִּי חָטָֽאנוּ מְחַל לָֽנוּ מַלְכֵּֽנוּ כִּי פָשָֽׁעְנוּ כִּי מוֹחֵל וְסוֹלֵֽחַ אָֽתָּה: בָּרוּךְ אַתָּה יְהֹוָה חַנּוּן הַמַּרְבֶּה לִסְלֽוֹחַ:</t>
        </is>
      </c>
      <c r="F268" s="10" t="inlineStr"/>
      <c r="G268" s="11" t="inlineStr">
        <is>
          <t>Siddur Ashkenaz, Weekday, Maariv, Amidah, Forgiveness</t>
        </is>
      </c>
      <c r="H268" s="8" t="inlineStr">
        <is>
          <t>The Metsudah siddur, 1981 — CC-BY</t>
        </is>
      </c>
      <c r="I268" s="8" t="inlineStr">
        <is>
          <t>sefaria-siddur-ashkenaz-weekday-maariv-amidah-forgiveness</t>
        </is>
      </c>
    </row>
    <row r="269" ht="46" customHeight="1">
      <c r="A269" s="7">
        <f>IF(LEN(TRIM(F269))=0,"Approved","Comment to address")</f>
        <v/>
      </c>
      <c r="B269" s="12" t="inlineStr">
        <is>
          <t>Redemption</t>
        </is>
      </c>
      <c r="C269" s="12" t="inlineStr">
        <is>
          <t>daily</t>
        </is>
      </c>
      <c r="D269" s="12" t="inlineStr">
        <is>
          <t>Ashkenaz</t>
        </is>
      </c>
      <c r="E269" s="13" t="inlineStr">
        <is>
          <t>רְאֵה בְעָנְיֵֽנוּ וְרִיבָה רִיבֵֽנוּ וּגְאָלֵֽנוּ מְהֵרָה לְמַֽעַן שְׁמֶֽךָ כִּי גּוֹאֵל חָזָק אָֽתָּה: בָּרוּךְ אַתָּה יְהֹוָה גּוֹאֵל יִשְׂרָאֵל:</t>
        </is>
      </c>
      <c r="F269" s="10" t="inlineStr"/>
      <c r="G269" s="14" t="inlineStr">
        <is>
          <t>Siddur Ashkenaz, Weekday, Maariv, Amidah, Redemption</t>
        </is>
      </c>
      <c r="H269" s="12" t="inlineStr">
        <is>
          <t>The Metsudah siddur, 1981 — CC-BY</t>
        </is>
      </c>
      <c r="I269" s="12" t="inlineStr">
        <is>
          <t>sefaria-siddur-ashkenaz-weekday-maariv-amidah-redemption</t>
        </is>
      </c>
    </row>
    <row r="270" ht="63" customHeight="1">
      <c r="A270" s="7">
        <f>IF(LEN(TRIM(F270))=0,"Approved","Comment to address")</f>
        <v/>
      </c>
      <c r="B270" s="8" t="inlineStr">
        <is>
          <t>Healing</t>
        </is>
      </c>
      <c r="C270" s="8" t="inlineStr">
        <is>
          <t>health</t>
        </is>
      </c>
      <c r="D270" s="8" t="inlineStr">
        <is>
          <t>Ashkenaz</t>
        </is>
      </c>
      <c r="E270" s="9" t="inlineStr">
        <is>
          <t>רְפָאֵֽנוּ יְהֹוָה וְנֵרָפֵא הוֹשִׁיעֵֽנוּ וְנִוָּשֵֽׁעָה כִּי תְהִלָּתֵֽנוּ אָֽתָּה וְהַעֲלֵה רְפוּאָה שְׁלֵמָה לְכָל מַכּוֹתֵֽינוּ כִּי אֵל מֶֽלֶךְ רוֹפֵא נֶאֱמָן וְרַחֲמָן אָֽתָּה: בָּרוּךְ אַתָּה יְהֹוָה רוֹפֵא חוֹלֵי עַמּוֹ יִשְׂרָאֵל:</t>
        </is>
      </c>
      <c r="F270" s="10" t="inlineStr"/>
      <c r="G270" s="11" t="inlineStr">
        <is>
          <t>Siddur Ashkenaz, Weekday, Maariv, Amidah, Healing</t>
        </is>
      </c>
      <c r="H270" s="8" t="inlineStr">
        <is>
          <t>The Metsudah siddur, 1981 — CC-BY</t>
        </is>
      </c>
      <c r="I270" s="8" t="inlineStr">
        <is>
          <t>sefaria-siddur-ashkenaz-weekday-maariv-amidah-healing</t>
        </is>
      </c>
    </row>
    <row r="271" ht="63" customHeight="1">
      <c r="A271" s="7">
        <f>IF(LEN(TRIM(F271))=0,"Approved","Comment to address")</f>
        <v/>
      </c>
      <c r="B271" s="12" t="inlineStr">
        <is>
          <t>Gathering the Exiles</t>
        </is>
      </c>
      <c r="C271" s="12" t="inlineStr">
        <is>
          <t>daily</t>
        </is>
      </c>
      <c r="D271" s="12" t="inlineStr">
        <is>
          <t>Ashkenaz</t>
        </is>
      </c>
      <c r="E271" s="13" t="inlineStr">
        <is>
          <t>תְּקַע בְּשׁוֹפָר גָּדוֹל לְחֵרוּתֵֽנוּ וְשָׂא נֵס לְקַבֵּץ גָּלֻיּוֹתֵֽינוּ וְקַבְּצֵֽנוּ יַֽחַד מֵאַרְבַּע כַּנְפוֹת הָאָֽרֶץ: בָּרוּךְ אַתָּה יְהֹוָה מְקַבֵּץ נִדְחֵי עַמּוֹ יִשְׂרָאֵל:</t>
        </is>
      </c>
      <c r="F271" s="10" t="inlineStr"/>
      <c r="G271" s="14" t="inlineStr">
        <is>
          <t>Siddur Ashkenaz, Weekday, Maariv, Amidah, Gathering the Exiles</t>
        </is>
      </c>
      <c r="H271" s="12" t="inlineStr">
        <is>
          <t>The Metsudah siddur, 1981 — CC-BY</t>
        </is>
      </c>
      <c r="I271" s="12" t="inlineStr">
        <is>
          <t>sefaria-siddur-ashkenaz-weekday-maariv-amidah-gathering-the-exiles</t>
        </is>
      </c>
    </row>
    <row r="272" ht="80" customHeight="1">
      <c r="A272" s="7">
        <f>IF(LEN(TRIM(F272))=0,"Approved","Comment to address")</f>
        <v/>
      </c>
      <c r="B272" s="8" t="inlineStr">
        <is>
          <t>Against Enemies</t>
        </is>
      </c>
      <c r="C272" s="8" t="inlineStr">
        <is>
          <t>daily</t>
        </is>
      </c>
      <c r="D272" s="8" t="inlineStr">
        <is>
          <t>Ashkenaz</t>
        </is>
      </c>
      <c r="E272" s="9" t="inlineStr">
        <is>
          <t>וְלַמַּלְשִׁינִים אַל תְּהִי תִקְוָה וְכָל הָרִשְׁעָה כְּרֶֽגַע תֹּאבֵד וְכָל אֹיְבֶֽיךָ מְהֵרָה יִכָּרֵֽתוּ וְהַזֵּדִים מְהֵרָה תְעַקֵּר וּתְשַׁבֵּר וּתְמַגֵּר וְתַכְנִֽיעַ בִּמְהֵרָה בְיָמֵֽינוּ: בָּרוּךְ אַתָּה יְהֹוָה שׁוֹבֵר אֹיְבִים וּמַכְנִֽיעַ זֵדִים:</t>
        </is>
      </c>
      <c r="F272" s="10" t="inlineStr"/>
      <c r="G272" s="11" t="inlineStr">
        <is>
          <t>Siddur Ashkenaz, Weekday, Maariv, Amidah, Against Enemies</t>
        </is>
      </c>
      <c r="H272" s="8" t="inlineStr">
        <is>
          <t>The Metsudah siddur, 1981 — CC-BY</t>
        </is>
      </c>
      <c r="I272" s="8" t="inlineStr">
        <is>
          <t>sefaria-siddur-ashkenaz-weekday-maariv-amidah-against-enemies</t>
        </is>
      </c>
    </row>
    <row r="273" ht="97" customHeight="1">
      <c r="A273" s="7">
        <f>IF(LEN(TRIM(F273))=0,"Approved","Comment to address")</f>
        <v/>
      </c>
      <c r="B273" s="12" t="inlineStr">
        <is>
          <t>The Righteous</t>
        </is>
      </c>
      <c r="C273" s="12" t="inlineStr">
        <is>
          <t>daily</t>
        </is>
      </c>
      <c r="D273" s="12" t="inlineStr">
        <is>
          <t>Ashkenaz</t>
        </is>
      </c>
      <c r="E273" s="13" t="inlineStr">
        <is>
          <t>עַל־הַצַּדִּיקִים וְעַל־הַחֲסִידִים וְעַל־זִקְנֵי עַמְּךָ בֵּית יִשְׂרָאֵל וְעַל פְּלֵיטַת סוֹפְרֵיהֶם וְעַל גֵּרֵי הַצֶּֽדֶק וְעָלֵֽינוּ יֶהֱמוּ רַחֲמֶֽיךָ יְהֹוָה אֱלֹהֵֽינוּ וְתֵן שָׂכָר טוֹב לְכָל הַבּוֹטְחִים בְּשִׁמְךָ בֶּאֱמֶת וְשִׂים חֶלְקֵֽנוּ עִמָּהֶם לְעוֹלָם וְלֹא נֵבוֹשׁ כִּי בְךָ בָּטָֽחְנוּ: בָּרוּךְ אַתָּה יְהֹוָה מִשְׁעָן וּמִבְטָח לַצַּדִּיקִים:</t>
        </is>
      </c>
      <c r="F273" s="10" t="inlineStr"/>
      <c r="G273" s="14" t="inlineStr">
        <is>
          <t>Siddur Ashkenaz, Weekday, Maariv, Amidah, The Righteous</t>
        </is>
      </c>
      <c r="H273" s="12" t="inlineStr">
        <is>
          <t>The Metsudah siddur, 1981 — CC-BY</t>
        </is>
      </c>
      <c r="I273" s="12" t="inlineStr">
        <is>
          <t>sefaria-siddur-ashkenaz-weekday-maariv-amidah-the-righteous</t>
        </is>
      </c>
    </row>
    <row r="274" ht="63" customHeight="1">
      <c r="A274" s="7">
        <f>IF(LEN(TRIM(F274))=0,"Approved","Comment to address")</f>
        <v/>
      </c>
      <c r="B274" s="8" t="inlineStr">
        <is>
          <t>Rebuilding Jerusalem</t>
        </is>
      </c>
      <c r="C274" s="8" t="inlineStr">
        <is>
          <t>daily</t>
        </is>
      </c>
      <c r="D274" s="8" t="inlineStr">
        <is>
          <t>Ashkenaz</t>
        </is>
      </c>
      <c r="E274" s="9" t="inlineStr">
        <is>
          <t>וְלִירוּשָׁלַֽיִם עִירְךָ בְּרַחֲמִים תָּשׁוּב וְתִשְׁכּוֹן בְּתוֹכָהּ כַּאֲשֶׁר דִּבַּֽרְתָּ וּבְנֵה אוֹתָהּ בְּקָרוֹב בְּיָמֵֽינוּ בִּנְיַן עוֹלָם וְכִסֵּא דָוִד מְהֵרָה לְתוֹכָהּ תָּכִין: בָּרוּךְ אַתָּה יְהֹוָה בּוֹנֵה יְרוּשָׁלָֽיִם:</t>
        </is>
      </c>
      <c r="F274" s="10" t="inlineStr"/>
      <c r="G274" s="11" t="inlineStr">
        <is>
          <t>Siddur Ashkenaz, Weekday, Maariv, Amidah, Rebuilding Jerusalem</t>
        </is>
      </c>
      <c r="H274" s="8" t="inlineStr">
        <is>
          <t>The Metsudah siddur, 1981 — CC-BY</t>
        </is>
      </c>
      <c r="I274" s="8" t="inlineStr">
        <is>
          <t>sefaria-siddur-ashkenaz-weekday-maariv-amidah-rebuilding-jerusalem</t>
        </is>
      </c>
    </row>
    <row r="275" ht="63" customHeight="1">
      <c r="A275" s="7">
        <f>IF(LEN(TRIM(F275))=0,"Approved","Comment to address")</f>
        <v/>
      </c>
      <c r="B275" s="12" t="inlineStr">
        <is>
          <t>Kingdom of David</t>
        </is>
      </c>
      <c r="C275" s="12" t="inlineStr">
        <is>
          <t>daily</t>
        </is>
      </c>
      <c r="D275" s="12" t="inlineStr">
        <is>
          <t>Ashkenaz</t>
        </is>
      </c>
      <c r="E275" s="13" t="inlineStr">
        <is>
          <t>אֶת־צֶֽמַח דָּוִד עַבְדְּךָ מְהֵרָה תַצְמִֽיחַ וְקַרְנוֹ תָּרוּם בִּישׁוּעָתֶֽךָ כִּי לִישׁוּעָתְךָ קִוִּֽינוּ כָּל הַיּוֹם: בָּרוּךְ אַתָּה יְהֹוָה מַצְמִֽיחַ קֶֽרֶן יְשׁוּעָה:</t>
        </is>
      </c>
      <c r="F275" s="10" t="inlineStr"/>
      <c r="G275" s="14" t="inlineStr">
        <is>
          <t>Siddur Ashkenaz, Weekday, Maariv, Amidah, Kingdom of David</t>
        </is>
      </c>
      <c r="H275" s="12" t="inlineStr">
        <is>
          <t>The Metsudah siddur, 1981 — CC-BY</t>
        </is>
      </c>
      <c r="I275" s="12" t="inlineStr">
        <is>
          <t>sefaria-siddur-ashkenaz-weekday-maariv-amidah-kingdom-of-david</t>
        </is>
      </c>
    </row>
    <row r="276" ht="80" customHeight="1">
      <c r="A276" s="7">
        <f>IF(LEN(TRIM(F276))=0,"Approved","Comment to address")</f>
        <v/>
      </c>
      <c r="B276" s="8" t="inlineStr">
        <is>
          <t>Response to Prayer</t>
        </is>
      </c>
      <c r="C276" s="8" t="inlineStr">
        <is>
          <t>daily</t>
        </is>
      </c>
      <c r="D276" s="8" t="inlineStr">
        <is>
          <t>Ashkenaz</t>
        </is>
      </c>
      <c r="E276" s="9" t="inlineStr">
        <is>
          <t>שְׁמַע קוֹלֵֽנוּ יְהֹוָה אֱלֹהֵֽינוּ חוּס וְרַחֵם עָלֵֽינוּ וְקַבֵּל בְּרַחֲמִים וּבְרָצוֹן אֶת־תְּפִלָּתֵֽנוּ כִּי אֵל שׁוֹמֵֽעַ תְּפִלּוֹת וְתַחֲנוּנִים אָֽתָּה וּמִלְּפָנֶֽיךָ מַלְכֵּֽנוּ רֵיקָם אַל־תְּשִׁיבֵֽנוּ כִּי אַתָּה שׁוֹמֵֽעַ תְּפִלַּת עַמְּךָ יִשְׂרָאֵל בְּרַחֲמִים: בָּרוּךְ אַתָּה יְהֹוָה שׁוֹמֵֽעַ תְּפִלָּה:</t>
        </is>
      </c>
      <c r="F276" s="10" t="inlineStr"/>
      <c r="G276" s="11" t="inlineStr">
        <is>
          <t>Siddur Ashkenaz, Weekday, Maariv, Amidah, Response to Prayer</t>
        </is>
      </c>
      <c r="H276" s="8" t="inlineStr">
        <is>
          <t>The Metsudah siddur, 1981 — CC-BY</t>
        </is>
      </c>
      <c r="I276" s="8" t="inlineStr">
        <is>
          <t>sefaria-siddur-ashkenaz-weekday-maariv-amidah-response-to-prayer</t>
        </is>
      </c>
    </row>
    <row r="277" ht="284" customHeight="1">
      <c r="A277" s="7">
        <f>IF(LEN(TRIM(F277))=0,"Approved","Comment to address")</f>
        <v/>
      </c>
      <c r="B277" s="12" t="inlineStr">
        <is>
          <t>Temple Service</t>
        </is>
      </c>
      <c r="C277" s="12" t="inlineStr">
        <is>
          <t>daily</t>
        </is>
      </c>
      <c r="D277" s="12" t="inlineStr">
        <is>
          <t>Ashkenaz</t>
        </is>
      </c>
      <c r="E277" s="13" t="inlineStr">
        <is>
          <t>רְצֵה יְהֹוָה אֱלֹהֵֽינוּ בְּעַמְּךָ יִשְׂרָאֵל וּבִתְפִלָּתָם וְהָשֵׁב אֶת הָעֲבוֹדָה לִדְבִיר בֵּיתֶֽךָ וְאִשֵּׁי יִשְׂרָאֵל וּתְפִלָּתָם בְּאַהֲבָה תְקַבֵּל בְּרָצוֹן וּתְהִי לְרָצוֹן תָּמִיד עֲבוֹדַת יִשְׂרָאֵל עַמֶּֽךָ:
בראש חדש ובחול המועד אומרים זה: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לר"ח: רֹאשׁ הַחֹֽדֶשׁ הַזֶּה: לפסח: חַג הַמַּצּוֹת הַזֶּה: לסכות: חַג הַסֻּכּוֹת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וְתֶחֱזֶֽינָה עֵינֵֽינוּ בְּשׁוּבְ֒ךָ לְצִיּוֹן בְּרַחֲמִים: בָּרוּךְ אַתָּה יְהֹוָה הַמַּחֲזִיר שְׁכִינָתוֹ לְצִיּוֹן:</t>
        </is>
      </c>
      <c r="F277" s="10" t="inlineStr"/>
      <c r="G277" s="14" t="inlineStr">
        <is>
          <t>Siddur Ashkenaz, Weekday, Maariv, Amidah, Temple Service</t>
        </is>
      </c>
      <c r="H277" s="12" t="inlineStr">
        <is>
          <t>The Metsudah siddur, 1981 — CC-BY</t>
        </is>
      </c>
      <c r="I277" s="12" t="inlineStr">
        <is>
          <t>sefaria-siddur-ashkenaz-weekday-maariv-amidah-temple-service</t>
        </is>
      </c>
    </row>
    <row r="278" ht="267" customHeight="1">
      <c r="A278" s="7">
        <f>IF(LEN(TRIM(F278))=0,"Approved","Comment to address")</f>
        <v/>
      </c>
      <c r="B278" s="8" t="inlineStr">
        <is>
          <t>Concluding Passage</t>
        </is>
      </c>
      <c r="C278" s="8" t="inlineStr">
        <is>
          <t>daily</t>
        </is>
      </c>
      <c r="D278" s="8" t="inlineStr">
        <is>
          <t>Ashkenaz</t>
        </is>
      </c>
      <c r="E278" s="9" t="inlineStr">
        <is>
          <t>יִהְיוּ לְרָצוֹן אִמְ֒רֵי פִי וְהֶגְיוֹן לִבִּי לְפָנֶֽיךָ יְהֹוָה צוּרִי וְגוֹאֲלִי:
אֱלֹהַי נְצוֹר לְשׁוֹנִי מֵרָע וּשְׂפָתַי מִדַּבֵּר מִרְמָה. וְלִמְקַלְלַי נַפְשִׁי תִדּוֹם וְנַפְשִׁי כֶּעָפָר לַכֹּל תִּהְיֶה. פְּתַח לִבִּי בְּתוֹרָתֶֽךָ וּבְמִצְוֹתֶֽיךָ תִּרְדֹּף נַפְשִׁי. וְכֹל הַחוֹשְׁבִים עָלַי רָעָה מְהֵרָה הָפֵר עֲצָתָם וְקַלְקֵל מַחֲשַׁבְתָּם: עֲשֵׂה לְמַֽעַן שְׁמֶֽךָ עֲשֵׂה לְמַֽעַן יְמִינֶֽךָ עֲשֵׂה לְמַֽעַן קְדֻשָּׁתֶֽךָ עֲשֵׂה לְמַֽעַן תּוֹרָתֶֽךָ. לְמַֽעַן יֵחָלְצוּן יְדִידֶֽיךָ הוֹשִֽׁיעָה יְמִינְךָ וַעֲנֵֽנִי: יִהְיוּ לְרָצוֹן אִמְרֵי פִי וְהֶגְיוֹן לִבִּי לְפָנֶֽיךָ יְהֹוָה צוּרִי וְגוֹאֲלִי:
עֹשֶׂה (בעשי"ת הַשָּׁלוֹם) שָׁלוֹם בִּמְרוֹמָיו הוּא יַעֲשֶׂה שָׁלוֹם עָלֵֽינוּ וְעַל כָּל־יִשְׂרָאֵל וְאִמְרוּ אָמֵן:
יְהִי רָצוֹן מִלְּ֒פָנֶֽיךָ יְהֹוָה אֱלֹהֵֽינוּ וֵאלֹהֵי אֲבוֹתֵֽינוּ שֶׁיִּבָּנֶה בֵּית הַמִּקְדָּשׁ בִּמְהֵרָה בְיָמֵֽינוּ וְתֵן חֶלְקֵֽנוּ בְּתוֹרָתֶֽךָ: וְשָׁם נַעֲבָדְ֒ךָ בְּיִרְאָה כִּימֵי עוֹלָם וּכְשָׁנִים קַדְמוֹנִיּוֹת: וְעָרְ֒בָה לַיהוָֹה מִנְחַת יְהוּדָה וִירוּשָׁלָֽםִ כִּימֵי עוֹלָם וּכְשָׁנִים קַדְמוֹנִיּוֹת:</t>
        </is>
      </c>
      <c r="F278" s="10" t="inlineStr"/>
      <c r="G278" s="11" t="inlineStr">
        <is>
          <t>Siddur Ashkenaz, Weekday, Maariv, Amidah, Concluding Passage</t>
        </is>
      </c>
      <c r="H278" s="8" t="inlineStr">
        <is>
          <t>The Metsudah siddur, 1981 — CC-BY</t>
        </is>
      </c>
      <c r="I278" s="8" t="inlineStr">
        <is>
          <t>sefaria-siddur-ashkenaz-weekday-maariv-amidah-concluding-passage</t>
        </is>
      </c>
    </row>
    <row r="279" ht="409" customHeight="1">
      <c r="A279" s="7">
        <f>IF(LEN(TRIM(F279))=0,"Approved","Comment to address")</f>
        <v/>
      </c>
      <c r="B279" s="12" t="inlineStr">
        <is>
          <t>Viyehi Noam</t>
        </is>
      </c>
      <c r="C279" s="12" t="inlineStr">
        <is>
          <t>shabbat</t>
        </is>
      </c>
      <c r="D279" s="12" t="inlineStr">
        <is>
          <t>Ashkenaz</t>
        </is>
      </c>
      <c r="E279" s="13" t="inlineStr">
        <is>
          <t>וִיהִי נֹֽעַם אֲדֹנָי אֱלֹהֵֽינוּ עָלֵֽינוּ וּמַעֲשֵׂה יָדֵֽינוּ כּוֹנְנָה עָלֵֽינוּ וּמַעֲשֵׂה יָדֵֽינוּ כּוֹנְנֵֽהוּ:
ישֵׁב בְּסֵֽתֶר עֶלְיוֹן בְּצֵל שַׁדַּי יִתְלוֹנָן: אֹמַר לַיהֹוָה מַחְסִי וּמְצוּדָתִי אֱלֹהַי אֶבְטַח־בּוֹ: כִּי הוּא יַצִּילְךָ מִפַּח יָקוּשׁ מִדֶּֽבֶר הַוָּוֹת: בְּאֶבְרָתוֹ יָֽסֶךְ לָךְ וְתַֽחַת־כְּנָפָיו תֶּחְסֶה צִנָּה וְסֹחֵרָה אֲמִתּוֹ: לֹא־תִירָא מִפַּֽחַד לָֽיְלָה מֵחֵץ יָעוּף יוֹמָם: מִדֶּֽבֶר בָּאֹֽפֶל יַהֲלֹךְ מִקֶּֽטֶב יָשׁוּד צָהֳרָֽיִם: יִפֹּל מִצִּדְּךָ אֶֽלֶף וּרְבָבָה מִימִינֶֽךָ אֵלֶֽיךָ לֹא יִגָּשׁ: רַק בְּעֵינֶֽיךָ תַבִּיט וְשִׁלֻּמַת רְשָׁעִים תִּרְאֶה: כִּי־אַתָּה יְהֹוָה מַחְסִי עֶלְיוֹן שַֽׂמְתָּ מְעוֹנֶֽךָ: לֹא־תְאֻנֶּה אֵלֶֽיךָ רָעָה וְנֶֽגַע לֹא־יִקְרַב בְּאָהֳלֶֽךָ: כִּי מַלְאָכָיו יְצַוֶּה־לָּךְ לִשְׁמָרְךָ בְּכָל־דְּרָכֶֽיךָ: עַל־כַּפַּֽיִם יִשָּׂאֽוּנְךָ פֶּן־תִּגֹּף בָּאֶֽבֶן רַגְלֶֽךָ: עַל־שַֽׁחַל וָפֶֽתֶן תִּדְרֹךְ תִּרְמֹס כְּפִיר וְתַנִּין: כִּי בִי חָשַׁק וַאֲפַלְּטֵֽהוּ אֲשַׂגְּבֵֽהוּ כִּי־יָדַע שְׁמִי: יִקְרָאֵֽנִי וְאֶעֱנֵֽהוּ עִמּוֹ־אָנֹכִי בְצָרָה אֲחַלְּצֵֽהוּ וַאֲכַבְּדֵֽהוּ: אֹֽרֶךְ יָמִים אַשְׂבִּיעֵֽהוּ וְאַרְאֵֽהוּ בִּישׁוּעָתִי: אֹֽרֶךְ יָמִים אַשְׂבִּיעֵֽהוּ וְאַרְאֵֽהוּ בִּישׁוּעָתִי:
וְאַתָּה קָדוֹשׁ יוֹשֵׁב תְּהִלּוֹת יִשְׂרָאֵל: וְקָרָא זֶה אֶל זֶה וְאָמַר: קָדוֹשׁ קָדוֹשׁ קָדוֹשׁ יְהֹוָה צְבָאוֹת מְלֺא כָל הָאָֽרֶץ כְּבוֹדוֹ:
וּמְ֒קַבְּ֒לִין דֵּין מִן דֵּין וְאָמְ֒רִין קַדִּישׁ בִּשְׁ֒מֵי מְרוֹמָא עִלָּאָה בֵּית שְׁכִינְתֵּהּ קַדִּישׁ עַל אַרְעָא עוֹבַד גְּבוּרְתֵּהּ קַדִּישׁ לְעָלַם וּלְעָלְ֒מֵי עָלְ֒מַיָּא יְהֹוָה צְבָאוֹת, מַלְיָא כָל אַרְעָא זִיו יְקָרֵהּ:
וַתִּשָּׂאֵֽנִי רֽוּחַ וָאֶשְׁמַע אַחֲרַי קוֹל רַֽעַשׁ גָּדוֹל: בָּרוּךְ כְּבוֹד יְהֹוָה מִמְּ֒קוֹמוֹ:
וּנְ֒טָלַתְנִי רוּחָא וּשְׁמָעִית בַּתְרַי קָל זִֽיעַ סַגִּיא דִּמְ֒שַׁבְּ֒חִין וְאָמְ֒רִין בְּרִיךְ יְקָרָא דַיהוָֹה מֵאֲתַר בֵּית שְׁכִינְתֵּהּ:
יְהֹוָה יִמְלֺךְ לְעוֹלָם וָעֶד:
יְהֹוָה מַלְכוּתֵהּ קָאֵים לְעָלַם וּלְעָלְ֒מֵי עָלְ֒מַיָּא:
יְהֹוָה אֱלֺהֵי אַבְרָהָם יִצְחָק וְיִשְׂרָאֵל אֲבוֹתֵֽינוּ שָׁמְ֒רָה זֹאת לְעֹלָם לְיֵֽצֶר מַחְשְׁ֒בוֹת לְבַב עַמֶּֽךָ וְהָכֵן לְבָבָם אֵלֶֽיךָ: וְהוּא רַחוּם יְכַפֵּר עָוֹן וְלֺא יַשְׁחִית וְהִרְבָּה לְהָשִׁיב אַפּוֹ וְלֺא יָעִיר כָּל חֲמָתוֹ: כִּי אַתָּה אֲדֹנָי טוֹב וְסַלָּח וְרַב חֶֽסֶד לְכָל קֹרְ֒אֶֽיךָ: צִדְ֒קָתְ֒ךָ צֶֽדֶק לְעוֹלָם וְתוֹרָתְ֒ךָ אֱמֶת: תִּתֵּן אֱמֶת לְיַעֲקֹב חֶֽסֶד לְאַבְרָהָם אֲשֶׁר נִשְׁבַּֽעְתָּ לַאֲבוֹתֵֽינוּ מִֽימֵי קֶֽדֶם: בָּרוּךְ אֲדֹנָי יוֹם יוֹם יַעֲמָס לָֽנוּ הָאֵל יְשׁוּעָתֵֽנוּ סֶֽלָה: יְהֹוָה צְבָאוֹת עִמָּֽנוּ מִשְׂגָּב לָֽנוּ אֱלֺהֵי יַעֲקֹב סֶֽלָה: יְהֹוָה צְבָאוֹת אַשְׁרֵי אָדָם בֹּטֵֽחַ בָּךְ: יְהֹוָה הוֹשִֽׁיעָה הַמֶּֽלֶךְ יַעֲנֵֽנוּ בְיוֹם קָרְאֵֽנוּ:
בָּרוּךְ הוּא אֱלֺהֵֽינוּ שֶׁבְּ֒רָאָֽנוּ לִכְ֒בוֹדוֹ וְהִבְדִּילָֽנוּ מִן הַתּוֹעִים וְנָֽתַן לָֽנוּ תּוֹרַת אֱמֶת וְחַיֵּי עוֹלָם נָטַע בְּתוֹכֵֽנוּ הוּא יִפְתַּח לִבֵּֽנוּ בְּתוֹרָתוֹ וְיָשֵׂם בְּלִבֵּֽנוּ אַהֲבָתוֹ וְיִרְאָתוֹ וְלַעֲשׂוֹת רְצוֹנוֹ וּלְעָבְ֒דוֹ בְּלֵבָב שָׁלֵם לְמַֽעַן לֺא נִיגַע לָרִיק וְלֺא נֵלֵד לַבֶּהָלָה:
יְהִי רָצוֹן מִלְּ֒פָנֶֽיךָ יְהֹוָה אֱלֺהֵֽינוּ וֵאלֺהֵי אֲבוֹתֵֽינוּ שֶׁנִּשְׁמֹר חֻקֶּֽיךָ בָּעוֹלָם הַזֶּה וְנִזְכֶּה וְנִחְיֶה וְנִרְאֶה וְנִירַשׁ טוֹבָה וּבְרָכָה לִשְׁ֒נֵי יְמוֹת הַמָּשִֽׁיחַ וּלְחַיֵּי הָעוֹלָם הַבָּא: לְמַֽעַן יְזַמֶּרְ֒ךָ כָבוֹד וְלֺא יִדֹּם יְהֹוָה אֱלֺהַי לְעוֹלָם אוֹדֶֽךָּ: בָּרוּךְ הַגֶּֽבֶר אֲשֶׁר יִבְטַח בַּיהוָֹה וְהָיָה יְהֹוָה מִבְטַחוֹ: בִּטְ֒חוּ בַיהוָֹה עֲדֵי עַד כִּי בְּיָהּ יְהֹוָה צוּר עוֹלָמִים: וְיִבְטְחוּ בְךָ יוֹדְ֒עֵי שְׁמֶֽךָ כִּי לֺא עָזַֽבְתָּ דֹרְ֒שֶֽׁיךָ יְהֹוָה: יְהֹוָה חָפֵץ לְמַֽעַן צִדְקוֹ יַגְדִּיל תּוֹרָה וְיַאְדִּיר:</t>
        </is>
      </c>
      <c r="F279" s="10" t="inlineStr"/>
      <c r="G279" s="14" t="inlineStr">
        <is>
          <t>Siddur Ashkenaz, Weekday, Maariv, Additions for Motza'ei Shabbat, Viyehi Noam</t>
        </is>
      </c>
      <c r="H279" s="12" t="inlineStr">
        <is>
          <t>The Metsudah siddur, 1981 — CC-BY</t>
        </is>
      </c>
      <c r="I279" s="12" t="inlineStr">
        <is>
          <t>sefaria-siddur-ashkenaz-weekday-maariv-additions-for-motza-ei-shabbat-viyehi-noam</t>
        </is>
      </c>
    </row>
    <row r="280" ht="352" customHeight="1">
      <c r="A280" s="7">
        <f>IF(LEN(TRIM(F280))=0,"Approved","Comment to address")</f>
        <v/>
      </c>
      <c r="B280" s="8" t="inlineStr">
        <is>
          <t>Alenu</t>
        </is>
      </c>
      <c r="C280" s="8" t="inlineStr">
        <is>
          <t>daily</t>
        </is>
      </c>
      <c r="D280" s="8" t="inlineStr">
        <is>
          <t>Ashkenaz</t>
        </is>
      </c>
      <c r="E280" s="9"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t>
        </is>
      </c>
      <c r="F280" s="10" t="inlineStr"/>
      <c r="G280" s="11" t="inlineStr">
        <is>
          <t>Siddur Ashkenaz, Weekday, Maariv, Alenu</t>
        </is>
      </c>
      <c r="H280" s="8" t="inlineStr">
        <is>
          <t>The Metsudah siddur, 1981 — CC-BY</t>
        </is>
      </c>
      <c r="I280" s="8" t="inlineStr">
        <is>
          <t>sefaria-siddur-ashkenaz-weekday-maariv-alenu</t>
        </is>
      </c>
    </row>
    <row r="281" ht="233" customHeight="1">
      <c r="A281" s="7">
        <f>IF(LEN(TRIM(F281))=0,"Approved","Comment to address")</f>
        <v/>
      </c>
      <c r="B281" s="12" t="inlineStr">
        <is>
          <t>Mourner's Kaddish</t>
        </is>
      </c>
      <c r="C281" s="12" t="inlineStr">
        <is>
          <t>daily</t>
        </is>
      </c>
      <c r="D281" s="12" t="inlineStr">
        <is>
          <t>Ashkenaz</t>
        </is>
      </c>
      <c r="E281" s="13"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281" s="10" t="inlineStr"/>
      <c r="G281" s="14" t="inlineStr">
        <is>
          <t>Siddur Ashkenaz, Weekday, Maariv, Mourner's Kaddish</t>
        </is>
      </c>
      <c r="H281" s="12" t="inlineStr">
        <is>
          <t>The Metsudah siddur, 1981 — CC-BY</t>
        </is>
      </c>
      <c r="I281" s="12" t="inlineStr">
        <is>
          <t>sefaria-siddur-ashkenaz-weekday-maariv-mourner-s-kaddish</t>
        </is>
      </c>
    </row>
    <row r="282" ht="409" customHeight="1">
      <c r="A282" s="7">
        <f>IF(LEN(TRIM(F282))=0,"Approved","Comment to address")</f>
        <v/>
      </c>
      <c r="B282" s="8" t="inlineStr">
        <is>
          <t>LeDavid</t>
        </is>
      </c>
      <c r="C282" s="8" t="inlineStr">
        <is>
          <t>daily</t>
        </is>
      </c>
      <c r="D282" s="8" t="inlineStr">
        <is>
          <t>Ashkenaz</t>
        </is>
      </c>
      <c r="E282" s="9" t="inlineStr">
        <is>
          <t>מנהג טוב לומר אחר כל תפלה מזמור לדוד ה׳‬ אורי וישעי. ובפרט מר״ח אלול עד הושענא רבא (מורה באצבע סי' לז).
לְדָוִד יְהֹוָה אוֹרִי וְיִשְׁעִי מִמִּי אִירָא יְהֹוָה מָעוֹז חַיַּי מִמִּי אֶפְחָד: בִּקְ֒רֹב עָלַי מְרֵעִים לֶאֱכֹל אֶת בְּשָׂרִי צָרַי וְאֹיְ֒בַי לִי הֵֽמָּה כָשְׁ֒לוּ וְנָפָֽלוּ: אִם תַּחֲנֶה עָלַי מַחֲנֶה לֺא יִירָא לִבִּי אִם תָּקוּם עָלַי מִלְחָמָה בְּזֹאת אֲנִי בוֹטֵֽחַ: אַחַת שָׁאַֽלְתִּי מֵאֵת יְהֹוָה אוֹתָהּ אֲבַקֵּשׁ שִׁבְתִּי בְּבֵית יְהֹוָה כָּל יְמֵי חַיַּי לַחֲזוֹת בְּנֹֽעַם יְהֹוָה וּלְבַקֵּר בְּהֵיכָלוֹ: כִּי יִצְפְּ֒נֵֽנִי בְּסֻכֹּה בְּיוֹם רָעָה יַסְתִּרֵֽנִי בְּסֵֽתֶר אָהֳלוֹ בְּצוּר יְרוֹמְ֒מֵֽנִי: וְעַתָּה יָרוּם רֹאשִׁי עַל אֹיְ֒בַי סְבִיבוֹתָי וְאֶזְבְּחָה בְאָהֳלוֹ זִבְחֵי תְרוּעָה אָשִֽׁירָה וַאֲזַמְּ֒רָה לַיהוָֹה: שְׁמַע יְהֹוָה קוֹלִי אֶקְרָא וְחָנֵּֽנִי וַעֲנֵֽנִי: לְךָ אָמַר לִבִּי בַּקְּ֒שׁוּ פָנָי אֶת פָּנֶֽיךָ יְהֹוָה אֲבַקֵּשׁ: אַל תַּסְתֵּר פָּנֶֽיךָ מִמֶּֽנִּי אַל תַּט בְּאַף עַבְדֶּֽךָ עֶזְרָתִי הָיִֽיתָ אַל תִּטְּ֒שֵֽׁנִי וְאַל תַּעַזְבֵֽנִי אֱלֺהֵי יִשְׁעִי: כִּי אָבִי וְאִמִּי עֲזָבֽוּנִי וַיהוָֹה יַאַסְפֵֽנִי: הוֹרֵֽנִי יְהֹוָה דַּרְכֶּֽךָ וּנְחֵֽנִי בְּאֹֽרַח מִישׁוֹר לְמַֽעַן שׁוֹרְ֒רָי: אַל תִּתְּ֒נֵֽנִי בְּנֶֽפֶשׁ צָרָי כִּי קָֽמוּ בִי עֵֽדֵי שֶֽׁקֶר וִיפֵֽחַ חָמָס: לוּלֵא הֶאֱמַֽנְתִּי לִרְאוֹת בְּטוּב יְהֹוָה בְּאֶֽרֶץ חַיִּים: קַוֵּה אֶל יְהֹוָה חֲזַק וְיַאֲמֵץ לִבֶּךָ וְקַוֵּה אֶל יְהֹוָה: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282" s="10" t="inlineStr"/>
      <c r="G282" s="11" t="inlineStr">
        <is>
          <t>Siddur Ashkenaz, Weekday, Maariv, LeDavid</t>
        </is>
      </c>
      <c r="H282" s="8" t="inlineStr">
        <is>
          <t>The Metsudah siddur, 1981 — CC-BY</t>
        </is>
      </c>
      <c r="I282" s="8" t="inlineStr">
        <is>
          <t>sefaria-siddur-ashkenaz-weekday-maariv-ledavid</t>
        </is>
      </c>
    </row>
    <row r="283" ht="409" customHeight="1">
      <c r="A283" s="7">
        <f>IF(LEN(TRIM(F283))=0,"Approved","Comment to address")</f>
        <v/>
      </c>
      <c r="B283" s="12" t="inlineStr">
        <is>
          <t>Bedtime Shema</t>
        </is>
      </c>
      <c r="C283" s="12" t="inlineStr">
        <is>
          <t>daily</t>
        </is>
      </c>
      <c r="D283" s="12" t="inlineStr">
        <is>
          <t>Ashkenaz</t>
        </is>
      </c>
      <c r="E283" s="13" t="inlineStr">
        <is>
          <t>רִבּוֹנוֹ שֶׁל עוֹלָם הֲרֵינִי מוֹחֵל לְכָל־מִי שֶׁהִכְעִיס וְהִקְנִיט אוֹתִי אוֹ שֶׁחָטָא כְנֶגְדִּי בֵּין בְּגוּפִי בֵּין בְּמָמוֹנִי בֵּין בִּכְבוֹדִי בֵּין בְּכָל־אֲשֶׁר לִי בֵּין בְּאֽוֹנֶס בֵּין בְּרָצוֹן בֵּין בְּשׁוֹגֵג בֵּין בְּמֵזִיד בֵּין בְּדִבּוּר בֵּין בְּמַעֲשֶׂה בֵּין בְּמַחֲשָׁבָה בֵּין בְּהַרְהוֹר בֵּין בְּגִלְגּוּל זֶה בֵּין בְּגִלְגּוּל אַחֵר לְכָל־בַּר יִשְׂרָאֵל וְלֹא יֵעָנֵשׁ שׁוּם אָדָם בְּסִבָּתִי: יְהִי רָצוֹן מִלְּפָנֶֽיךָ יְהֹוָה אֱלֹהַי וֵאלֹהֵי אֲבוֹתַי שֶׁלֹא אֶחֱטָא עוֹד וּמַה־שֶּׁחָטָֽאתִי לְפָנֶֽיךָ מְחוֹק בְּרַחֲמֶֽיךָ הָרַבִּים אֲבָל לֹא עַל־יְדֵי יִסּוֹרִים וָחֳלָיִים רָעִים: יִהְיוּ לְרָצוֹן אִמְרֵי־פִי וְהֶגְיוֹן לִבִּי לְפָנֶֽיךָ יְהֹוָה צוּרִי וְגֹֽאֲלִֽי:
בָּרוּךְ אַתָּה יְהֹוָה אֱלֺהֵֽינוּ מֶֽלֶךְ הָעוֹלָם הַמַּפִּיל חֶבְלֵי שֵׁנָה עַל עֵינָי וּתְנוּמָה עַל עַפְעַפָּי: וִיהִי רָצוֹן מִלְּפָנֶֽיךָ יְהֹוָה אֱלֹהַי וֵאלֹהֵי אֲבוֹתַי שֶתַּשְׁכִּיבֵֽנִי לְשָׁלוֹם וְתַעֲמִידֵֽנִי לְשָׁלוֹם וְאַל יְבַהֲלֽוּנִי רַעְיוֹנַי וַחֲלוֹמוֹת רָעִים וְהַרְהוֹרִים רָעִים וּתְהֵא מִטָּתִי שְׁלֵמָה לְפָנֶֽיךָ וְהָאֵר עֵינַי פֶּן אִישַׁן הַמָּֽוֶת כִּי אַתָּה הַמֵּאִיר לְאִישׁוֹן בַּת עָֽיִן: בָּרוּךְ אַתָּה יְהֹוָה הַמֵּאִיר לָעוֹלָם כֻּלּוֹ בִּכְבוֹדוֹ:
אֵל מֶֽלֶךְ נֶאֱמָן:
שְׁמַע יִשְׂרָאֵל יְהֹוָה אֱלֹהֵֽינוּ יְהֹוָה אֶחָד:
יש להפסיק מעט בין אחד לברוך כי עיקר קבול עול מלכות שמים היא פסוק ראשון.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וְהָיָה אִם־שָׁמֹֽעַ תִּשְׁמְעוּ אֶל־מִצְוֹתַי אֲשֶׁר֯ אָ֯נֹכִי מְצַוֶּה אֶתְ֒כֶם הַיּוֹם לְאַהֲבָה אֶת־יְהֹוָה אֱלֹהֵיכֶם וּלְעָבְ֒דוֹ בְּכָל־לְבַבְכֶם וּבְכָל־נַפְשְׁכֶם: וְנָתַתִּי מְטַר֯־אַ֯רְצְכֶם בְּעִתּוֹ יוֹרֶה וּמַלְקוֹשׁ וְאָסַפְתָּ דְגָנֶֽךָ וְתִירשְׁךָ וְיִצְהָרֶֽךָ: וְנָתַתִּי עֵֽשֶׂב֯ בְּ֯שָׂדְ֒ךָ לִבְ֒הֶמְתֶּֽךָ וְאָכַלְתָּ וְשָׂבָֽעְתָּ: הִשָּׁמְ֒רוּ לָכֶם פֶּן֯־יִ֯פְתֶּה לְבַבְכֶם וְסַרְתֶּם וַעֲבַדְתֶּם אֱלֹהִים֯ אֲ֯חֵרִים וְהִשְׁתַּחֲוִיתֶם לָהֶם: וְחָרָה אַף־יְהֹוָה בָּכֶם וְעָצַר֯ אֶ֯ת־הַשָּׁמַֽיִם וְלֹא֯־יִ֯הְיֶה מָטָר וְהָאֲדָמָה לֹא תִתֵּן אֶת֯־יְ֯בוּלָהּ וַאֲבַדְתֶּם֯ מְ֯הֵרָה מֵעַל הָאָֽרֶץ הַטֹּבָה אֲשֶׁר֯ יְ֯הֹוָה נֹתֵן לָכֶם: וְשַׂמְתֶּם֯ אֶ֯ת־דְּבָרַי֯ אֵֽ֯לֶּה עַל֯־לְ֯בַבְכֶם וְעַל־נַפְשְׁ֒כֶם וּקְשַׁרְתֶּם֯ אֹ֯תָם לְאוֹת עַל֯־יֶדְ֒כֶם וְהָיוּ לְטוֹטָפֹת בֵּין עֵינֵיכֶם: וְלִמַּדְתֶּם֯ אֹ֯תָם אֶת־בְּנֵיכֶם לְדַבֵּר בָּם בְּשִׁבְתְּךָ בְּבֵיתֶֽךָ וּבְלֶכְתְּ֒ךָ בַדֶּֽרֶךְ וּבְשָׁכְבְּ֒ךָ וּבְקוּמֶֽךָ: וּכְתַבְתָּם עַל־מְזוּזוֹת בֵּיתֶֽךָ וּבִשְׁ֒עָרֶֽיךָ: לְמַֽעַן֯ יִ֯רְבּוּ יְמֵיכֶם וִימֵי בְנֵיכֶם עַל הָאֲדָמָה אֲשֶׁר נִשְׁבַּע יְהֹוָה לַאֲבֹתֵיכֶם לָתֵת לָהֶם כִּימֵי הַשָּׁמַֽיִם עַל־הָאָֽרֶץ:
וַֽיֹּאמֶר֯ יְהֹוָה אֶ֯ל־משֶׁה לֵּאמֹר: דַּבֵּר֯ אֶ֯ל־בְּנֵי יִשְׂרָאֵל וְאָמַרְתָּ אֲלֵהֶם וְעָשׂוּ לָהֶם צִיצִת עַל־כַּנְפֵי בִגְ֒דֵיהֶם לְדֹרֹתָם וְנָתְ֒נוּ עַל־צִיצִת הַכָּנָף֯ פְּ֯תִיל תְּכֵֽלֶת: וְהָיָה לָכֶם לְצִיצִת וּרְאִיתֶם֯ אֹ֯תוֹ וּזְכַרְתֶּם֯ אֶ֯ת־כָּל־מִצְוֹת֯ יְ֯הֹוָה וַעֲשִׂיתֶם֯ אֹ֯תָם וְלֹא תָתֽוּרוּ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אֱ֯מֶת
וִיהִי נֹֽעַם אֲדֹנָי אֱלֹהֵֽינוּ עָלֵֽינוּ וּמַעֲשֵׂה יָדֵֽינוּ כּוֹנְנָה עָלֵֽינוּ וּמַעֲשֵׂה יָדֵֽינוּ כּוֹנְנֵֽהוּ:
ישֵׁב בְּסֵֽתֶר עֶלְיוֹן בְּצֵל שַׁדַּי יִתְלוֹנָן: אֹמַר לַיהֹוָה מַחְסִי וּמְצוּדָתִי אֱלֹהַי אֶבְטַח־בּוֹ: כִּי הוּא יַצִּילְךָ מִפַּח יָקוּשׁ מִדֶּֽבֶר הַוָּוֹת: בְּאֶבְרָתוֹ יָֽסֶךְ לָךְ וְתַֽחַת־כְּנָפָיו תֶּחְסֶה צִנָּה וְסֹחֵרָה אֲמִתּוֹ: לֹא־תִירָא מִפַּֽחַד לָֽיְלָה מֵחֵץ יָעוּף יוֹמָם: מִדֶּֽבֶר בָּאֹֽפֶל יַהֲלֹךְ מִקֶּֽטֶב יָשׁוּד צָהֳרָֽיִם: יִפֹּל מִצִּדְּךָ אֶֽלֶף וּרְבָבָה מִימִינֶֽךָ אֵלֶֽיךָ לֹא יִגָּשׁ: רַק בְּעֵינֶֽיךָ תַבִּיט וְשִׁלֻּמַת רְשָׁעִים תִּרְאֶה: כִּי־אַתָּה יְהֹוָה מַחְסִי עֶלְיוֹן שַֽׂמְתָּ מְעוֹנֶֽךָ: לֹא־תְאֻנֶּה אֵלֶֽיךָ רָעָה וְנֶֽגַע לֹא־יִקְרַב בְּאָהֳלֶֽךָ: כִּי מַלְאָכָיו יְצַוֶּה־לָּךְ לִשְׁמָרְךָ בְּכָל־דְּרָכֶֽיךָ: עַל־כַּפַּֽיִם יִשָּׂאֽוּנְךָ פֶּן־תִּגֹּף בָּאֶֽבֶן רַגְלֶֽךָ: עַל־שַֽׁחַל וָפֶֽתֶן תִּדְרֹךְ תִּרְמֹס כְּפִיר וְתַנִּין: כִּי בִי חָשַׁק וַאֲפַלְּטֵֽהוּ אֲשַׂגְּבֵֽהוּ כִּי־יָדַע שְׁמִי: יִקְרָאֵֽנִי וְאֶעֱנֵֽהוּ עִמּוֹ־אָנֹכִי בְצָרָה אֲחַלְּצֵֽהוּ וַאֲכַבְּדֵֽהוּ: אֹֽרֶךְ יָמִים אַשְׂבִּיעֵֽהוּ וְאַרְאֵֽהוּ בִּישׁוּעָתִי: אֹֽרֶךְ יָמִים אַשְׂבִּיעֵֽהוּ וְאַרְאֵֽהוּ בִּישׁוּעָתִי:
יְהֹוָה מָה־רַבּוּ צָרָי רַבִּים קָמִים עָלָי: רַבִּים אֹמְ֒רִים לְנַפְשִׁי אֵין יְשׁוּעָֽתָה לוֹ בֵאלֺהִים סֶֽלָה: וְאַתָּה יְהֹוָה מָגֵן בַּעֲדִי כְּבוֹדִי וּמֵרִים רֹאשִׁי: קוֹלִי אֶל־יְהֹוָה אֶקְרָא וַיַּעֲנֵֽנִי מֵהַר קָדְשׁוֹ סֶֽלָה: אֲנִי שָׁכַֽבְתִּי וָאִישָֽׁנָה הֱקִיצֽוֹתִי כִּי יְהֹוָה יִסְמְ֒כֵֽנִי: לֺא אִירָא מֵרִבְבוֹת עָם אֲשֶׁר סָבִיב שָֽׁתוּ עָלָי: קוּמָה יְהֹוָה הוֹשִׁיעֵֽנִי אֱלֺהַי כִּי־הִכִּֽיתָ אֶת־כָּל אֹיְ֒בַי לֶֽחִי שִׁנֵּי רְשָׁעִים שִׁבַּֽרְתָּ: לַיהוָֹה הַיְשׁוּעָה עַל־עַמְּ֒ךָ בִרְכָתֶֽךָ סֶֽלָה:
הַשְׁכִּיבֵֽנוּ יְהֹוָה אֱלֹהֵֽינוּ לְשָׁלוֹם וְהַעֲמִידֵֽנוּ מַלְכֵּֽנוּ לְחַיִּים וּפְרוֹשׂ עָלֵֽינוּ סֻכַּת שְׁלוֹמֶֽךָ וְתַקְּ֒נֵֽנוּ בְּעֵצָה טוֹבָה מִלְּ֒פָנֶֽיךָ וְהוֹשִׁיעֵֽנוּ לְמַֽעַן שְׁמֶֽךָ וְהָגֵן בַּעֲדֵֽנוּ וְהָסֵר מֵעָלֵֽינוּ אוֹיֵב דֶּֽבֶר וְחֶֽרֶב וְרָעָב וְיָגוֹן וְהָסֵר שָׂטָן מִלְּ֒פָנֵֽינוּ וּמֵאַחֲרֵֽינוּ וּבְצֵל כְּנָפֶֽיךָ תַּסְתִּירֵֽנוּ כִּי אֵל שׁוֹמְ֒רֵֽנוּ וּמַצִּילֵֽנוּ אָֽתָּה כִּי אֵל מֶֽלֶךְ חַנּוּן וְרַחוּם אָֽתָּה וּשְׁמוֹר צֵאתֵֽנוּ וּבוֹאֵֽנוּ לְחַיִּים וּלְשָׁלוֹם מֵעַתָּה וְעַד עוֹלָם:
בָּרוּךְ יְהֹוָה בַּיּוֹם בָּרוּךְ יְהֹוָה בַּלָּֽיְלָה בָּרוּךְ יְהֹוָה בְּשָׁכְבֵֽנוּ בָּרוּךְ יְהֹוָה בְּקוּמֵֽנוּ. כִּי בְיָדְ֒ךָ נַפְשׁוֹת הַחַיִּים וְהַמֵּתִים אֲשֶׁר בְּיָדוֹ נֶֽפֶשׁ כָּל חָי וְרֽוּחַ כָּל בְּשַׂר אִישׁ. בְּיָדְ֒ךָ אַפְקִיד רוּחִי פָּדִֽיתָה אוֹתִי יְהֹוָה אֵל אֱמֶת. אֱלֺהֵֽינוּ שֶׁבַּשָּׁמַֽיִם יַחֵד שִׁמְךָ וְקַיֵּם מַלְכוּתְ֒ךָ תָּמִיד וּמְלֺךְ עָלֵֽינוּ לְעוֹלָם וָעֶד:
יִרְאוּ עֵינֵֽינוּ וְיִשְׂמַח לִבֵּֽנוּ וְתָגֵל נַפְשֵֽׁנוּ בִּישׁוּעָתְ֒ךָ בֶּאֱמֶת בֶּאֱמוֹר לְצִיּוֹן מָלַךְ אֱלֺהָֽיִךְ. יְהֹוָה מֶֽלֶךְ יְהֹוָה מָלָךְ יְהֹוָה יִמְלֹךְ לְעוֹלָם וָעֶד: כִּי הַמַּלְכוּת שֶׁלְּ֒ךָ הִיא וּלְעֽוֹלְ֒מֵי עַד תִּמְלוֹךְ בְּכָבוֹד כִּי אֵין לָֽנוּ מֶֽלֶךְ אֶלָּא אָֽתָּה:
הַמַּלְאָךְ הַגֹּאֵל אֹתִי מִכָּל רָע יְבָרֵךְ אֶת הַנְּ֒עָרִים וְיִקָּרֵא בָהֶם שְׁמִי וְשֵׁם אֲבוֹתַי אַבְרָהָם וְיִצְחָק וְיִדְגּוּ לָרֹב בְּקֶֽרֶב הָאָֽרֶץ:
וַיֹּֽאמֶר אִם שָׁמֽוֹעַ תִּשְׁמַע לְקוֹל יְהֹוָה אֱלֺהֶֽיךָ וְהַיָּשָׁר בְּעֵינָיו תַּעֲשֶׂה וְהַאֲזַנְתָּ לְמִצְוֹתָיו וְשָׁמַרְתָּ כָּל חֻקָּיו כָּל הַמַּחֲלָה אֲשֶׁר שַֽׂמְתִּי בְמִצְרַֽיִם לֺא אָשִׂים עָלֶֽיךָ כִּי אֲנִי יְהֹוָה רֹפְ֒אֶֽךָ:
וַיֹּֽאמֶר יְהֹוָה אֶל הַשָּׂטָן יִגְעַר יְהֹוָה בְּךָ הַשָּׂטָן וְיִגְעַר יְהֹוָה בְּךָ הַבֹּחֵר בִּירוּשָׁלָֽםִ הֲלֺא זֶה אוּד מֻצָּל מֵאֵשׁ
הִנֵּה מִטָּתוֹ שֶׁלִּשְׁלֺמֹה שִׁשִּׁים גִּבֹּרִים סָבִיב לָהּ מִגִּבֹּרֵי יִשְׂרָאֵל כֻּלָּם אֲחֻֽזֵי חֶֽרֶב מְלֻמְּ֒דֵי מִלְחָמָה אִישׁ חַרְבּוֹ עַל יְרֵכוֹ מִפַּֽחַד בַּלֵּילוֹת
יאמר כל פסוק ג"פ:
יְבָרֶכְךָ יְהֹוָה וְיִשְׁמְרֶֽךָ יָאֵר יְהֹוָה פָּנָיו אֵלֶֽיךָ וִיחֻנֶּֽךָּ: יִשָּׂא יְהֹוָה פָּנָיו אֵלֶֽיךָ וְיָשֵׂם לְךָ שָׁלוֹם:
הִנֵּה לֺא יָנוּם וְלֺא יִישָׁן שׁוֹמֵר יִשְׂרָאֵל:
לִישׁוּעָתְ֒ךָ קִוִּיתִי יְהֹוָה קִוִּיתִי יְהֹוָה לִישׁוּעָתְ֒ךָ יְהֹוָה לִישׁוּעָתְ֒ךָ קִוִּיתִי
בְּשֵׁם יְהֹוָה אֱלֺהֵי יִשְׂרָאֵל מִימִינִי מִיכָאֵל וּמִשְּׂ֒מֹאלִי גַבְרִיאֵל וּמִלְּ֒פָנַי אוֹרִיאֵל וּמֵאֲחוֹרַי רְפָאֵל וְעַל רֹאשִי שְׁכִינַת אֵל:
שִׁיר הַמַּעֲלוֹת אַשְׁרֵי כָּל־יְרֵא יְהֹוָה הַהֹלֵךְ בִּדְרָכָיו: יְגִֽיעַ כַּפֶּֽיךָ כִּי תֹאכֵל אַשְׁרֶֽיךָ וְטוֹב לָךְ: אֶשְׁתְּ֒ךָ כְּגֶֽפֶן פֹּרִיָּה בְּיַרְכְּ֒תֵי בֵיתֶֽךָ בָּנֶֽיךָ כִּשְׁתִלֵי זֵיתִים סָבִיב לְשֻׁלְחָנֶֽךָ: הִנֵּה כִי־כֵן יְבֹֽרַךְ גָּֽבֶר יְרֵא יְהֹוָה: יְבָרֶכְךָ יְהֹוָה מִצִּיּוֹן וּרְאֵה בְּטוּב יְרוּשָׁלָֽםִ כֹּל יְמֵי חַיֶּֽיךָ: וּרְאֵה־ בָנִים לְבָנֶֽיךָ שָׁלוֹם עַל־יִשְׂרָאֵל:
יאמר כל פסוק ג"פ:
רִגְזוּ וְאַל תֶּחֱטָֽאוּ אִמְרוּ בִלְבַבְכֶם עַל מִשְׁכַּבְכֶם וְדֹֽמּוּ סֶֽלָה:
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t>
        </is>
      </c>
      <c r="F283" s="10" t="inlineStr"/>
      <c r="G283" s="14" t="inlineStr">
        <is>
          <t>Siddur Ashkenaz, Weekday, Maariv, Keri'at Shema al Hamita</t>
        </is>
      </c>
      <c r="H283" s="12" t="inlineStr">
        <is>
          <t>The Metsudah siddur, 1981 — CC-BY</t>
        </is>
      </c>
      <c r="I283" s="12" t="inlineStr">
        <is>
          <t>sefaria-siddur-ashkenaz-weekday-maariv-keri-at-shema-al-hamita</t>
        </is>
      </c>
    </row>
    <row r="284" ht="216" customHeight="1">
      <c r="A284" s="7">
        <f>IF(LEN(TRIM(F284))=0,"Approved","Comment to address")</f>
        <v/>
      </c>
      <c r="B284" s="8" t="inlineStr">
        <is>
          <t>Yedid Nefesh</t>
        </is>
      </c>
      <c r="C284" s="8" t="inlineStr">
        <is>
          <t>shabbat</t>
        </is>
      </c>
      <c r="D284" s="8" t="inlineStr">
        <is>
          <t>Ashkenaz</t>
        </is>
      </c>
      <c r="E284" s="9" t="inlineStr">
        <is>
          <t>יְדִיד נֶֽפֶשׁ אָב הָרַחֲמָן. מְשׁוֹךְ עַבְדְּ֒ךָ אֶל רְצוֹנֶֽךָ. יָרוּץ עַבְדְּ֒ךָ כְּמוֹ אַיָּל יִשְׁתַּחֲוֶה אֶל מוּל הֲדָרֶֽךָ. יֶעֱרַב לוֹ יְדִידוֹתֶֽיךָ. מִנֹּֽפֶת צוּף וְכָל טָֽעַם:
הָדוּר נָאֶה זִיו הָעוֹלָם. נַפְשִׁי חוֹלַת אַהֲבָתֶֽךָ. אָֽנָּא אֵל נָא רְפָא נָא לָהּ. בְּהַרְאוֹת לָהּ נֹֽעַם זִיוֶֽךָ. אָז תִּתְחַזֵּק וְתִתְרַפֵּא. וְהָיְ֒תָה לָהּ שִׂמְחַת עוֹלָם:
וָתִיק יֶהֱמוּ נָא רַחֲמֶֽיךָ וְחֽוּסָה נָא עַל בֵּן אֲהוּבֶֽךָ. כִּי זֶה כַּמָּה נִכְסוֹף נִכְסַפְתִּי לִרְאוֹת מְהֵרָה בְּתִפְאֶֽרֶת עֻזֶּֽךָ. אֵֽלֶּה חָמְ֒דָה לִבִּי וְחֽוּסָה נָא וְאַל תִּתְעַלֵּם:
הִגָּלֶה נָּא וּפְרוֹס חֲבִיבִי עָלַי אֶת סֻכַּת שְׁלוֹמֶֽךָ. תָּאִיר אֶֽרֶץ מִכְּ֒בוֹדֶֽךָ. נָגִֽילָה וְנִשְׂמְ֒חָה בָּךְ. מַהֵר אֶהֹב כִּי בָא מוֹעֵד וְחָנֵּֽנוּ כִּימֵי עוֹלָם:</t>
        </is>
      </c>
      <c r="F284" s="10" t="inlineStr"/>
      <c r="G284" s="11" t="inlineStr">
        <is>
          <t>Siddur Ashkenaz, Shabbat, Kabbalat Shabbat, Yedid Nefesh</t>
        </is>
      </c>
      <c r="H284" s="8" t="inlineStr">
        <is>
          <t>The Metsudah siddur, 1981 — CC-BY</t>
        </is>
      </c>
      <c r="I284" s="8" t="inlineStr">
        <is>
          <t>sefaria-siddur-ashkenaz-shabbat-kabbalat-shabbat-yedid-nefesh</t>
        </is>
      </c>
    </row>
    <row r="285" ht="216" customHeight="1">
      <c r="A285" s="7">
        <f>IF(LEN(TRIM(F285))=0,"Approved","Comment to address")</f>
        <v/>
      </c>
      <c r="B285" s="12" t="inlineStr">
        <is>
          <t>Psalm 96</t>
        </is>
      </c>
      <c r="C285" s="12" t="inlineStr">
        <is>
          <t>shabbat</t>
        </is>
      </c>
      <c r="D285" s="12" t="inlineStr">
        <is>
          <t>Ashkenaz</t>
        </is>
      </c>
      <c r="E285" s="13" t="inlineStr">
        <is>
          <t>שִֽׁירוּ לַיהֹוָה שִׁיר חָדָשׁ שִֽׁירוּ לַיהֹוָה כָּל־הָאָֽרֶץ: שִֽׁירוּ לַיהֹוָה בָּרְכוּ שְׁמוֹ בַּשְּׂרוּ מִיּוֹם־לְיוֹם יְשׁוּעָתוֹ: סַפְּרוּ בַגּוֹיִם כְּבוֹדוֹ בְּכָל־הָעַמִּים נִפְלְאוֹתָיו: כִּי גָדוֹל יְהֹוָה וּמְהֻלָּל מְאֹד נוֹרָא הוּא עַל־כָּל־אֱלֹהִים: כִּי כָּל־אֱלֹהֵי הָעַמִּים אֱלִילִים וַיהֹוָה שָׁמַֽיִם עָשָׂה: הוֹד־וְהָדָר לְפָנָיו עֹז וְתִפְאֶֽרֶת בְּמִקְדָּשׁוֹ: הָבוּ לַיהֹוָה מִשְׁפְּחוֹת עַמִּים הָבוּ לַיהֹוָה כָּבוֹד וָעֹז: הָבוּ לַיהֹוָה כְּבוֹד שְׁמוֹ שְׂאוּ־מִנְחָה וּבֹֽאוּ לְחַצְרוֹתָיו: הִשְׁתַּחֲווּ לַיהֹוָה בְּהַדְרַת־קֹֽדֶשׁ חִֽילוּ מִפָּנָיו כָּל־הָאָֽרֶץ: אִמְרוּ בַגּוֹיִם יְהֹוָה מָלָךְ אַף־תִּכּוֹן תֵּבֵל בַּל־תִּמּוֹט יָדִין עַמִּים בְּמֵישָׁרִים: יִשְׂמְחוּ הַשָּׁמַֽיִם וְתָגֵל הָאָֽרֶץ יִרְעַם הַיָּם וּמְלֹאוֹ: יַעֲלֹז שָׂדַי וְכָל־אֲשֶׁר־בּוֹ אָז יְרַנְּנוּ כָּל־עֲצֵי־יָֽעַר: לִפְנֵי יְהֹוָה כִּי בָא כִּי בָא לִשְׁפֹּט הָאָֽרֶץ יִשְׁפֹּט־תֵּבֵל בְּצֶֽדֶק וְעַמִּים בֶּאֱמוּנָתוֹ:</t>
        </is>
      </c>
      <c r="F285" s="10" t="inlineStr"/>
      <c r="G285" s="14" t="inlineStr">
        <is>
          <t>Siddur Ashkenaz, Shabbat, Kabbalat Shabbat, Psalm 96</t>
        </is>
      </c>
      <c r="H285" s="12" t="inlineStr">
        <is>
          <t>The Metsudah siddur, 1981 — CC-BY</t>
        </is>
      </c>
      <c r="I285" s="12" t="inlineStr">
        <is>
          <t>sefaria-siddur-ashkenaz-shabbat-kabbalat-shabbat-psalm-96</t>
        </is>
      </c>
    </row>
    <row r="286" ht="199" customHeight="1">
      <c r="A286" s="7">
        <f>IF(LEN(TRIM(F286))=0,"Approved","Comment to address")</f>
        <v/>
      </c>
      <c r="B286" s="8" t="inlineStr">
        <is>
          <t>Psalm 97</t>
        </is>
      </c>
      <c r="C286" s="8" t="inlineStr">
        <is>
          <t>shabbat</t>
        </is>
      </c>
      <c r="D286" s="8" t="inlineStr">
        <is>
          <t>Ashkenaz</t>
        </is>
      </c>
      <c r="E286" s="9" t="inlineStr">
        <is>
          <t>יְהֹוָה מָלָךְ תָּגֵל הָאָֽרֶץ יִשְׂמְחוּ אִיִּים רַבִּים: עָנָן וַעֲרָפֶל סְבִיבָיו צֶֽדֶק וּמִשְׁפָּט מְכוֹן כִּסְאוֹ: אֵשׁ לְפָנָיו תֵּלֵךְ וּתְלַהֵט סָבִיב צָרָיו: הֵאִֽירוּ בְרָקָיו תֵּבֵל רָאֲתָה וַתָּחֵל הָאָֽרֶץ: הָרִים כַּדּוֹנַג נָמַֽסּוּ מִלִּפְנֵי יְהֹוָה מִלִּפְנֵי אֲדוֹן כָּל־הָאָֽרֶץ: הִגִּֽידוּ הַשָּׁמַֽיִם צִדְקוֹ וְרָאוּ כָל־הָעַמִּים כְּבוֹדוֹ: יֵבֽשׁוּ כָּל־עֹֽבְדֵי פֶֽסֶל הַמִּתְהַלְלִים בָּאֱלִילִים הִשְׁתַּחֲווּ־לוֹ כָּל־אֱלֹהִים: שָׁמְעָה וַתִּשְׂמַח צִיּוֹן וַתָּגֵֽלְנָה בְּנוֹת יְהוּדָה לְמַֽעַן מִשְׁפָּטֶֽיךָ יְהֹוָה: כִּי־אַתָּה יְהֹוָה עֶלְיוֹן עַל־כָּל־הָאָֽרֶץ מְאֹד נַעֲלֵֽיתָ עַל־כָּל־אֱלֹהִים: אֹהֲבֵי יְהֹוָה שִׂנְאוּ רָע שֹׁמֵר נַפְשׁוֹת חֲסִידָיו מִיַּד רְשָׁעִים יַצִּילֵם: אוֹר זָרֻֽעַ לַצַּדִּיק וּלְיִשְׁרֵי־לֵב שִׂמְחָה: שִׂמְחוּ צַדִּיקִים בַּיהֹוָה וְהוֹדוּ לְזֵֽכֶר קָדְשׁוֹ:</t>
        </is>
      </c>
      <c r="F286" s="10" t="inlineStr"/>
      <c r="G286" s="11" t="inlineStr">
        <is>
          <t>Siddur Ashkenaz, Shabbat, Kabbalat Shabbat, Psalm 97</t>
        </is>
      </c>
      <c r="H286" s="8" t="inlineStr">
        <is>
          <t>The Metsudah siddur, 1981 — CC-BY</t>
        </is>
      </c>
      <c r="I286" s="8" t="inlineStr">
        <is>
          <t>sefaria-siddur-ashkenaz-shabbat-kabbalat-shabbat-psalm-97</t>
        </is>
      </c>
    </row>
    <row r="287" ht="165" customHeight="1">
      <c r="A287" s="7">
        <f>IF(LEN(TRIM(F287))=0,"Approved","Comment to address")</f>
        <v/>
      </c>
      <c r="B287" s="12" t="inlineStr">
        <is>
          <t>Psalm 98</t>
        </is>
      </c>
      <c r="C287" s="12" t="inlineStr">
        <is>
          <t>shabbat</t>
        </is>
      </c>
      <c r="D287" s="12" t="inlineStr">
        <is>
          <t>Ashkenaz</t>
        </is>
      </c>
      <c r="E287" s="13" t="inlineStr">
        <is>
          <t>מִזְמוֹר שִֽׁירוּ לַיהֹוָה שִׁיר חָדָשׁ כִּי־נִפְלָאוֹת עָשָׂה הוֹשִֽׁיעָה־לּוֹ יְמִינוֹ וּזְרֽוֹעַ קָדְשׁוֹ: הוֹדִֽיעַ יְהֹוָה יְשׁוּעָתוֹ לְעֵינֵי הַגּוֹיִם גִּלָּה צִדְקָתוֹ: זָכַר חַסְדּוֹ וֶאֱמוּנָתוֹ לְבֵית יִשְׂרָאֵל רָאוּ כָל־אַפְסֵי־אָֽרֶץ אֵת יְשׁוּעַת אֱלֹהֵֽינוּ: הָרִֽיעוּ לַיהֹוָה כָּל־הָאָֽרֶץ פִּצְחוּ וְרַנְּנוּ וְזַמֵּֽרוּ: זַמְּרוּ לַיהֹוָה בְּכִנּוֹר בְּכִנּוֹר וְקוֹל זִמְרָה: בַּחֲצֹצְרוֹת וְקוֹל שׁוֹפָר הָרִֽיעוּ לִפְנֵי הַמֶּֽלֶךְ יְהֹוָה: יִרְעַם הַיָּם וּמְלֹאוֹ תֵּבֵל וְיֽשְׁבֵי בָהּ: נְהָרוֹת יִמְחֲאוּ־כָף יַֽחַד הָרִים יְרַנֵּֽנוּ: לִפְנֵי־יְהֹוָה כִּי בָא לִשְׁפֹּט הָאָֽרֶץ יִשְׁפֹּט־תֵּבֵל בְּצֶֽדֶק וְעַמִּים בְּמֵישָׁרִים:</t>
        </is>
      </c>
      <c r="F287" s="10" t="inlineStr"/>
      <c r="G287" s="14" t="inlineStr">
        <is>
          <t>Siddur Ashkenaz, Shabbat, Kabbalat Shabbat, Psalm 98</t>
        </is>
      </c>
      <c r="H287" s="12" t="inlineStr">
        <is>
          <t>The Metsudah siddur, 1981 — CC-BY</t>
        </is>
      </c>
      <c r="I287" s="12" t="inlineStr">
        <is>
          <t>sefaria-siddur-ashkenaz-shabbat-kabbalat-shabbat-psalm-98</t>
        </is>
      </c>
    </row>
    <row r="288" ht="165" customHeight="1">
      <c r="A288" s="7">
        <f>IF(LEN(TRIM(F288))=0,"Approved","Comment to address")</f>
        <v/>
      </c>
      <c r="B288" s="8" t="inlineStr">
        <is>
          <t>Psalm 99</t>
        </is>
      </c>
      <c r="C288" s="8" t="inlineStr">
        <is>
          <t>shabbat</t>
        </is>
      </c>
      <c r="D288" s="8" t="inlineStr">
        <is>
          <t>Ashkenaz</t>
        </is>
      </c>
      <c r="E288" s="9" t="inlineStr">
        <is>
          <t>יְהֹוָה מָלָךְ יִרְגְּזוּ עַמִּים ישֵׁב כְּרוּבִים תָּנוּט הָאָֽרֶץ: יְהֹוָה בְּצִיּוֹן גָּדוֹל וְרָם הוּא עַל־כָּל הָעַמִּים: יוֹדוּ שִׁמְךָ גָּדוֹל וְנוֹרָא קָדוֹשׁ הוּא: וְעֹז מֶֽלֶךְ מִשְׁפָּט אָהֵב אַתָּה כּוֹנַֽנְתָּ מֵישָׁרִים מִשְׁפָּט וּצְדָקָה בְּיַעֲקֹב אַתָּה עָשִֽׂיתָ: רוֹמְמוּ יְהֹוָה אֱלֹהֵֽינוּ וְהִשְׁתַּחֲווּ לַהֲדֹם רַגְלָיו קָדוֹשׁ הוּא: משֶׁה וְאַהֲרֹן בְּכֹהֲנָיו וּשְׁמוּאֵל בְּקֹרְאֵי שְׁמוֹ קֹרִאים אֶל־יְהֹוָה וְהוּא יַעֲנֵם: בְּעַמּוּד עָנָן יְדַבֵּר אֲלֵיהֶם שָׁמְרוּ עֵדֹתָיו וְחֹק נָֽתַן־לָֽמוֹ: יְהֹוָה אֱלֹהֵֽינוּ אַתָּה עֲנִיתָם אֵל נֹשֵׂא הָיִֽיתָ לָהֶם וְנֹקֵם עַל־עֲלִילוֹתָם: רוֹמְמוּ יְהֹוָה אֱלֹהֵֽינוּ וְהִשְׁתַּחֲווּ לְהַר קָדְשׁוֹ כִּי־קָדוֹשׁ יְהֹוָה אֱלֹהֵֽינוּ:</t>
        </is>
      </c>
      <c r="F288" s="10" t="inlineStr"/>
      <c r="G288" s="11" t="inlineStr">
        <is>
          <t>Siddur Ashkenaz, Shabbat, Kabbalat Shabbat, Psalm 99</t>
        </is>
      </c>
      <c r="H288" s="8" t="inlineStr">
        <is>
          <t>The Metsudah siddur, 1981 — CC-BY</t>
        </is>
      </c>
      <c r="I288" s="8" t="inlineStr">
        <is>
          <t>sefaria-siddur-ashkenaz-shabbat-kabbalat-shabbat-psalm-99</t>
        </is>
      </c>
    </row>
    <row r="289" ht="182" customHeight="1">
      <c r="A289" s="7">
        <f>IF(LEN(TRIM(F289))=0,"Approved","Comment to address")</f>
        <v/>
      </c>
      <c r="B289" s="12" t="inlineStr">
        <is>
          <t>Psalm 29</t>
        </is>
      </c>
      <c r="C289" s="12" t="inlineStr">
        <is>
          <t>shabbat</t>
        </is>
      </c>
      <c r="D289" s="12" t="inlineStr">
        <is>
          <t>Ashkenaz</t>
        </is>
      </c>
      <c r="E289" s="13" t="inlineStr">
        <is>
          <t>מִזְמוֹר לְדָוִד הָבוּ לַיהֹוָה בְּנֵי אֵלִים הָבוּ לַיהֹוָה כָּבוֹד וָעֹז: הָבוּ לַיהֹוָה כְּבוֹד שְׁמוֹ הִשְׁתַּחֲווּ לַיהֹוָה בְּהַדְרַת־קֹֽדֶשׁ: קוֹל יְהֹוָה עַל־הַמָּֽיִם אֵל־הַכָּבוֹד הִרְעִים יְהֹוָה עַל־מַֽיִם רַבִּים: קוֹל־יְהֹוָה בַּכֹּֽחַ קוֹל יְהֹוָה בֶּהָדָר: קוֹל יְהֹוָה שֹׁבֵר אֲרָזִים וַיְשַׁבֵּר יְהֹוָה אֶת־אַרְזֵי הַלְּבָנוֹן: וַיַּרְקִידֵם כְּמוֹ־עֵֽגֶל לְבָנוֹן וְשִׂרְיוֹן כְּמוֹ בֶן־רְאֵמִים: קוֹל־יְהֹוָה חֹצֵב לַהֲבוֹת אֵשׁ: קוֹל יְהֹוָה יָחִיל מִדְבָּר יָחִיל יְהֹוָה מִדְבַּר קָדֵשׁ: קוֹל יְהֹוָה יְחוֹלֵל אַיָּלוֹת וַיֶּחֱשׂף יְעָרוֹת וּבְהֵיכָלוֹ כֻּלּוֹ אֹמֵר כָּבוֹד: יְהֹוָה לַמַּבּוּל יָשָׁב וַיֵּֽשֶׁב יְהֹוָה מֶֽלֶךְ לְעוֹלָם: יְהֹוָה עֹז לְעַמּוֹ יִתֵּן יְהֹוָה יְבָרֵךְ אֶת־עַמּוֹ בַשָּׁלוֹם:</t>
        </is>
      </c>
      <c r="F289" s="10" t="inlineStr"/>
      <c r="G289" s="14" t="inlineStr">
        <is>
          <t>Siddur Ashkenaz, Shabbat, Kabbalat Shabbat, Psalm 29</t>
        </is>
      </c>
      <c r="H289" s="12" t="inlineStr">
        <is>
          <t>The Metsudah siddur, 1981 — CC-BY</t>
        </is>
      </c>
      <c r="I289" s="12" t="inlineStr">
        <is>
          <t>sefaria-siddur-ashkenaz-shabbat-kabbalat-shabbat-psalm-29</t>
        </is>
      </c>
    </row>
    <row r="290" ht="114" customHeight="1">
      <c r="A290" s="7">
        <f>IF(LEN(TRIM(F290))=0,"Approved","Comment to address")</f>
        <v/>
      </c>
      <c r="B290" s="8" t="inlineStr">
        <is>
          <t>Ana Bekoach</t>
        </is>
      </c>
      <c r="C290" s="8" t="inlineStr">
        <is>
          <t>shabbat</t>
        </is>
      </c>
      <c r="D290" s="8" t="inlineStr">
        <is>
          <t>Ashkenaz</t>
        </is>
      </c>
      <c r="E290" s="9" t="inlineStr">
        <is>
          <t>אָנָּא בְּכֹֽחַ גְּדֻלַּת יְמִינְ֒ךָ תַּתִּיר צְרוּרָה: קַבֵּל רִנַּת עַמְּ֒ךָ שַׂגְּ֒בֵֽנוּ טַהֲרֵֽנוּ נוֹרָא: נָא גִבּוֹר דּוֹרְ֒שֵׁי יִחוּדְ֒ךָ כְּבָבַת שָׁמְרֵם: בָּרְ֒כֵם טַהֲרֵם רַחֲמֵם צִדְקָתְ֒ךָ תָּמִיד גָּמְלֵם: חֲסִין קָדוֹשׁ בְּרֹב טוּבְ֒ךָ נַהֵל עֲדָתֶֽךָ: יָחִיד גֵּאֶה לְעַמְּ֒ךָ פְּנֵה, זוֹכְ֒רֵי קְדֻשָּׁתֶֽךָ: שַׁוְעָתֵֽנוּ קַבֵּל וּשְׁמַע צַעֲקָתֵֽנוּ יוֹדֵֽעַ תַּעֲלוּמוֹת: בָּרוּךְ שֵׁם כְּבוֹד מַלְכוּתוֹ לְעוֹלָם וָעֶד:</t>
        </is>
      </c>
      <c r="F290" s="10" t="inlineStr"/>
      <c r="G290" s="11" t="inlineStr">
        <is>
          <t>Siddur Ashkenaz, Shabbat, Kabbalat Shabbat, Ana Bekoach</t>
        </is>
      </c>
      <c r="H290" s="8" t="inlineStr">
        <is>
          <t>The Metsudah siddur, 1981 — CC-BY</t>
        </is>
      </c>
      <c r="I290" s="8" t="inlineStr">
        <is>
          <t>sefaria-siddur-ashkenaz-shabbat-kabbalat-shabbat-ana-bekoach</t>
        </is>
      </c>
    </row>
    <row r="291" ht="409" customHeight="1">
      <c r="A291" s="7">
        <f>IF(LEN(TRIM(F291))=0,"Approved","Comment to address")</f>
        <v/>
      </c>
      <c r="B291" s="12" t="inlineStr">
        <is>
          <t>Lekha Dodi</t>
        </is>
      </c>
      <c r="C291" s="12" t="inlineStr">
        <is>
          <t>shabbat</t>
        </is>
      </c>
      <c r="D291" s="12" t="inlineStr">
        <is>
          <t>Ashkenaz</t>
        </is>
      </c>
      <c r="E291" s="13" t="inlineStr">
        <is>
          <t>לְכָה דוֹדִי לִקְרַאת כַּלָּה. פְּנֵי שַׁבָּת נְקַבְּ֒לָה:
שָׁמוֹר וְזָכוֹר בְּדִבּוּר אֶחָד. הִשְׁמִיעָֽנוּ אֵל הַמְיוּחָד. יְהֹוָה אֶחָד וּשְׁמוֹ אֶחָד. לְשֵׁם וּלְתִפְאֶֽרֶת וְלִתְהִלָּה:
לְכָה דוֹדִי לִקְרַאת כַּלָּה. פְּנֵי שַׁבָּת נְקַבְּ֒לָה:
לִקְרַאת שַׁבָּת לְכוּ וְנֵלְ֒כָה. כִּי הִיא מְקוֹר הַבְּ֒רָכָה. מֵרֹאשׁ מִקֶּֽדֶם נְסוּכָה. סוֹף מַעֲשֶׂה בְּמַחֲשָׁבָה תְּחִלָּה:
לְכָה דוֹדִי לִקְרַאת כַּלָּה. פְּנֵי שַׁבָּת נְקַבְּ֒לָה:
מִקְדַּשׁ מֶֽלֶךְ עִיר מְלוּכָה. קֽוּמִי צְאִי מִתּוֹךְ הַהֲפֵכָה. רַב לָךְ שֶֽׁבֶת בְּעֵֽמֶק הַבָּכָא. וְהוּא יַחְמוֹל עָלַֽיִךְ חֶמְלָה:
לְכָה דוֹדִי לִקְרַאת כַּלָּה. פְּנֵי שַׁבָּת נְקַבְּ֒לָה:
הִתְנַעֲרִי מֵעָפָר קֽוּמִי. לִבְשִׁי בִּגְדֵי תִפְאַרְתֵּךְ עַמִּי. עַל יַד בֶּן יִשַּׁי בֵּית הַלַּחְמִי. קָרְבָה אֶל נַפְשִׁי גְּאָלָהּ:
לְכָה דוֹדִי לִקְרַאת כַּלָּה. פְּנֵי שַׁבָּת נְקַבְּ֒לָה:
הִתְעוֹרְ֒רִי. הִתְעוֹרְ֒רִי. כִּי בָא אוֹרֵךְ קֽוּמִי אֽוֹרִי. עֽוּרִי עֽוּרִי שִׁיר דַּבֵּֽרִי. כְּבוֹד יְהֹוָה עָלַֽיִךְ נִגְלָה:
לְכָה דוֹדִי לִקְרַאת כַּלָּה. פְּנֵי שַׁבָּת נְקַבְּ֒לָה:
לֹא תֵבֽוֹשִׁי וְלֹא תִכָּלְ֒מִי. מַה תִּשְׁתּוֹחֲחִי וּמַה תֶּהֱמִי. בָּךְ יֶחֱסוּ עֲנִיֵּי עַמִּי. וְנִבְנְ֒תָה עִיר עַל תִּלָּהּ:
לְכָה דוֹדִי לִקְרַאת כַּלָּה. פְּנֵי שַׁבָּת נְקַבְּ֒לָה:
וְהָיוּ לִמְשִׁסָּה שֹׁסָֽיִךְ. וְרָחֲקוּ כָּל מְבַלְּ֒עָֽיִךְ. יָשִׂישׂ עָלַֽיִךְ אֱלֹהָֽיִךְ. כִּמְשׂוֹשׂ חָתָן עַל כַּלָּה:
לְכָה דוֹדִי לִקְרַאת כַּלָּה. פְּנֵי שַׁבָּת נְקַבְּ֒לָה:
יָמִין וּשְׂמֹאל תִּפְרֽוֹצִי. וְאֶת יְהֹוָה תַּעֲרִֽיצִי. עַל יַד אִישׁ בֶּן פַּרְצִי. וְנִשְׂמְ֒חָה וְנָגִֽילָה:
לְכָה דוֹדִי לִקְרַאת כַּלָּה. פְּנֵי שַׁבָּת נְקַבְּ֒לָה:
בּֽוֹאִי בְשָׁלוֹם עֲטֶֽרֶת בַּעְלָהּ. גַּם בְּשִׂמְחָה וּבְצָהֳלָה. תּוֹךְ אֱמוּנֵי עַם סְגֻלָּה. בֹּֽאִי כַלָּה בֹּֽאִי כַלָּה בֹּֽאִי כַלָּה שַׁבָּת מַלְכְּתָא:
לְכָה דוֹדִי לִקְרַאת כַּלָּה. פְּנֵי שַׁבָּת נְקַבְּ֒לָה:</t>
        </is>
      </c>
      <c r="F291" s="10" t="inlineStr"/>
      <c r="G291" s="14" t="inlineStr">
        <is>
          <t>Siddur Ashkenaz, Shabbat, Kabbalat Shabbat, Lekha Dodi</t>
        </is>
      </c>
      <c r="H291" s="12" t="inlineStr">
        <is>
          <t>The Metsudah siddur, 1981 — CC-BY</t>
        </is>
      </c>
      <c r="I291" s="12" t="inlineStr">
        <is>
          <t>sefaria-siddur-ashkenaz-shabbat-kabbalat-shabbat-lekha-dodi</t>
        </is>
      </c>
    </row>
    <row r="292" ht="233" customHeight="1">
      <c r="A292" s="7">
        <f>IF(LEN(TRIM(F292))=0,"Approved","Comment to address")</f>
        <v/>
      </c>
      <c r="B292" s="8" t="inlineStr">
        <is>
          <t>Psalm 92</t>
        </is>
      </c>
      <c r="C292" s="8" t="inlineStr">
        <is>
          <t>shabbat</t>
        </is>
      </c>
      <c r="D292" s="8" t="inlineStr">
        <is>
          <t>Ashkenaz</t>
        </is>
      </c>
      <c r="E292" s="9" t="inlineStr">
        <is>
          <t>מִזְמוֹר שִׁיר לְיוֹם הַשַּׁבָּת: טוֹב לְהֹדוֹת לַיהֹוָה וּלְזַמֵּר לְשִׁמְךָ עֶלְיוֹן: לְהַגִּיד בַּבֹּֽקֶר חַסְדֶּֽךָ וֶאֱמוּנָתְךָ בַּלֵּילוֹת: עֲלֵי־עָשׂוֹר וַעֲלֵי־נָֽבֶל עֲלֵי הִגָּיוֹן בְּכִנּוֹר: כִּי שִׂמַּחְתַּֽנִי יְהֹוָה בְּפָעֳלֶֽךָ בְּמַעֲשֵׂי יָדֶֽיךָ אֲרַנֵּן: מַה־גָּדְלוּ מַעֲשֶֽׂיךָ יְהֹוָה מְאֹד עָמְקוּ מַחְשְׁבֹתֶֽיךָ: אִישׁ־בַּֽעַר לֹא יֵדָע וּכְסִיל לֹא־יָבִין אֶת־זֹאת: בִּפְרֹֽחַ רְשָׁעִים כְּמוֹ עֵֽשֶׂב וַיָּצִֽיצוּ כָּל־פֹּֽעֲלֵי אָֽוֶן לְהִשָּׁמְדָם עֲדֵי־עַד: וְאַתָּה מָרוֹם לְעֹלָם יְהֹוָה: כִּי הִנֵּה אֹיְבֶֽיךָ יְהֹוָה כִּי־הִנֵּה אֹיְבֶֽיךָ יֹאבֵֽדוּ יִתְפָּרְדוּ כָּל־פֹּֽעֲלֵי אָֽוֶן: וַתָּֽרֶם כִּרְאֵים קַרְנִי בַּלֹּתִי בְּשֶֽׁמֶן רַעֲנָן: וַתַּבֵּט עֵינִי בְּשׁוּרָי בַּקָּמִים עָלַי מְרֵעִים תִּשְׁמַֽעְנָה אָזְנָי: צַדִּיק כַּתָּמָר יִפְרָח כְּאֶֽרֶז בַּלְּבָנוֹן יִשְׂגֶּה: שְׁתוּלִים בְּבֵית יְהֹוָה בְּחַצְרוֹת אֱלֹהֵֽינוּ יַפְרִֽיחוּ: עוֹד יְנוּבוּן בְּשֵׂיבָה דְּשֵׁנִים וְרַעֲנַנִּים יִהְיוּ: לְהַגִּיד כִּי־יָשָׁר יְהֹוָה צוּרִי וְלֹא־עַוְלָֽתָה בּוֹ:</t>
        </is>
      </c>
      <c r="F292" s="10" t="inlineStr"/>
      <c r="G292" s="11" t="inlineStr">
        <is>
          <t>Siddur Ashkenaz, Shabbat, Kabbalat Shabbat, Psalm 92</t>
        </is>
      </c>
      <c r="H292" s="8" t="inlineStr">
        <is>
          <t>The Metsudah siddur, 1981 — CC-BY</t>
        </is>
      </c>
      <c r="I292" s="8" t="inlineStr">
        <is>
          <t>sefaria-siddur-ashkenaz-shabbat-kabbalat-shabbat-psalm-92</t>
        </is>
      </c>
    </row>
    <row r="293" ht="97" customHeight="1">
      <c r="A293" s="7">
        <f>IF(LEN(TRIM(F293))=0,"Approved","Comment to address")</f>
        <v/>
      </c>
      <c r="B293" s="12" t="inlineStr">
        <is>
          <t>Psalm 93</t>
        </is>
      </c>
      <c r="C293" s="12" t="inlineStr">
        <is>
          <t>shabbat</t>
        </is>
      </c>
      <c r="D293" s="12" t="inlineStr">
        <is>
          <t>Ashkenaz</t>
        </is>
      </c>
      <c r="E293" s="13" t="inlineStr">
        <is>
          <t>יְהֹוָה מָלָךְ גֵּאוּת לָבֵשׁ לָבֵשׁ יְהֹוָה עֹז הִתְאַזָּר אַף־תִּכּוֹן תֵּבֵל בַּל־תִּמּוֹט: נָכוֹן כִּסְאֲךָ מֵאָז מֵעוֹלָם אָֽתָּה: נָשְׂאוּ נְהָרוֹת יְהֹוָה נָשְׂאוּ נְהָרוֹת קוֹלָם יִשְׂאוּ נְהָרוֹת דָּכְיָם: מִקֹּלוֹת מַֽיִם רַבִּים אַדִּירִים מִשְׁבְּרֵי־יָם אַדִּיר בַּמָּרוֹם יְהֹוָה: עֵדֹתֶֽיךָ נֶאֶמְנוּ מְאֹד לְבֵיתְךָ נָֽאֲוָה־קֹּֽדֶשׁ יְהֹוָה לְאֹֽרֶךְ יָמִים:</t>
        </is>
      </c>
      <c r="F293" s="10" t="inlineStr"/>
      <c r="G293" s="14" t="inlineStr">
        <is>
          <t>Siddur Ashkenaz, Shabbat, Kabbalat Shabbat, Psalm 93</t>
        </is>
      </c>
      <c r="H293" s="12" t="inlineStr">
        <is>
          <t>The Metsudah siddur, 1981 — CC-BY</t>
        </is>
      </c>
      <c r="I293" s="12" t="inlineStr">
        <is>
          <t>sefaria-siddur-ashkenaz-shabbat-kabbalat-shabbat-psalm-93</t>
        </is>
      </c>
    </row>
    <row r="294" ht="267" customHeight="1">
      <c r="A294" s="7">
        <f>IF(LEN(TRIM(F294))=0,"Approved","Comment to address")</f>
        <v/>
      </c>
      <c r="B294" s="8" t="inlineStr">
        <is>
          <t>Mourner's Kaddish</t>
        </is>
      </c>
      <c r="C294" s="8" t="inlineStr">
        <is>
          <t>shabbat</t>
        </is>
      </c>
      <c r="D294" s="8" t="inlineStr">
        <is>
          <t>Ashkenaz</t>
        </is>
      </c>
      <c r="E294"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מִן־שְׁמַיָּֽא וְחַיִּים עָלֵֽינוּ וְעַל־כָּל־יִשְׂרָאֵל וְאִמְרוּ אָמֵן: עוֹשֶׂה שָׁלוֹם (בעשי"ת הַשָּׁלוֹם) בִּמְרוֹמָיו הוּא יַעֲשֶׂה שָׁלוֹם עָלֵֽינוּ וְעַל כָּל יִשְׂרָאֵל וְאִמְרוּ אָמֵן:</t>
        </is>
      </c>
      <c r="F294" s="10" t="inlineStr"/>
      <c r="G294" s="11" t="inlineStr">
        <is>
          <t>Siddur Ashkenaz, Shabbat, Kabbalat Shabbat, Mourner's Kaddish</t>
        </is>
      </c>
      <c r="H294" s="8" t="inlineStr">
        <is>
          <t>The Metsudah siddur, 1981 — CC-BY</t>
        </is>
      </c>
      <c r="I294" s="8" t="inlineStr">
        <is>
          <t>sefaria-siddur-ashkenaz-shabbat-kabbalat-shabbat-mourner-s-kaddish</t>
        </is>
      </c>
    </row>
    <row r="295" ht="318" customHeight="1">
      <c r="A295" s="7">
        <f>IF(LEN(TRIM(F295))=0,"Approved","Comment to address")</f>
        <v/>
      </c>
      <c r="B295" s="12" t="inlineStr">
        <is>
          <t>Kaddish DeRabbanan</t>
        </is>
      </c>
      <c r="C295" s="12" t="inlineStr">
        <is>
          <t>shabbat</t>
        </is>
      </c>
      <c r="D295" s="12" t="inlineStr">
        <is>
          <t>Ashkenaz</t>
        </is>
      </c>
      <c r="E295" s="13"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מִן־שְׁמַיָּֽא וְחַיִּים עָלֵֽינוּ וְעַל־כָּל־יִשְׂרָאֵל וְאִמְרוּ אָמֵן:
עוֹשֶׂה שָׁלוֹם (בעשי"ת הַשָּׁלוֹם) בִּמְרוֹמָיו הוּא יַעֲשֶׂה שָׁלוֹם עָלֵֽינוּ וְעַל כָּל יִשְׂרָאֵל וְאִמְרוּ אָמֵן:</t>
        </is>
      </c>
      <c r="F295" s="10" t="inlineStr"/>
      <c r="G295" s="14" t="inlineStr">
        <is>
          <t>Siddur Ashkenaz, Shabbat, Kabbalat Shabbat, Kaddish DeRabbanan</t>
        </is>
      </c>
      <c r="H295" s="12" t="inlineStr">
        <is>
          <t>The Metsudah siddur, 1981 — CC-BY</t>
        </is>
      </c>
      <c r="I295" s="12" t="inlineStr">
        <is>
          <t>sefaria-siddur-ashkenaz-shabbat-kabbalat-shabbat-kaddish-derabbanan</t>
        </is>
      </c>
    </row>
    <row r="296" ht="131" customHeight="1">
      <c r="A296" s="7">
        <f>IF(LEN(TRIM(F296))=0,"Approved","Comment to address")</f>
        <v/>
      </c>
      <c r="B296" s="8" t="inlineStr">
        <is>
          <t>First Blessing before Shema</t>
        </is>
      </c>
      <c r="C296" s="8" t="inlineStr">
        <is>
          <t>shabbat</t>
        </is>
      </c>
      <c r="D296" s="8" t="inlineStr">
        <is>
          <t>Ashkenaz</t>
        </is>
      </c>
      <c r="E296" s="9" t="inlineStr">
        <is>
          <t>בָּרוּךְ אַתָּה יְהֹוָה אֱלֹהֵֽינוּ מֶֽלֶךְ הָעוֹלָם אֲשֶׁר בִּדְבָרוֹ מַעֲרִיב עֲרָבִים בְּחָכְמָה פּוֹתֵֽחַ שְׁעָרִים וּבִתְבוּנָה מְשַׁנֶּה עִתִּים וּמַחֲלִיף אֶת־הַזְּ֒מַנִּים וּמְסַדֵּר אֶת־הַכּוֹכָבִים בְּמִשְׁמְ֒רוֹתֵיהֶם בָּרָקִֽיעַ כִּרְצוֹנוֹ: בּוֹרֵא יוֹם וָלָֽיְלָה גּוֹלֵל אוֹר מִפְּ֒נֵי חֽשֶׁךְ וְחֽשֶׁךְ מִפְּ֒נֵי אוֹר וּמַעֲבִיר יוֹם וּמֵבִיא לָֽיְלָה וּמַבְדִּיל בֵּין יוֹם וּבֵין לָֽיְלָה יְהֹוָה צְבָאוֹת שְׁמוֹ: אֵל חַי וְקַיָּם תָּמִיד יִמְלֹךְ עָלֵֽינוּ לְעוֹלָם וָעֶד: בָּרוּךְ אַתָּה יְהֹוָה הַמַּעֲרִיב עֲרָבִים:</t>
        </is>
      </c>
      <c r="F296" s="10" t="inlineStr"/>
      <c r="G296" s="11" t="inlineStr">
        <is>
          <t>Siddur Ashkenaz, Shabbat, Maariv, Blessings of the Shema, First Blessing before Shema</t>
        </is>
      </c>
      <c r="H296" s="8" t="inlineStr">
        <is>
          <t>The Metsudah siddur, 1981 — CC-BY</t>
        </is>
      </c>
      <c r="I296" s="8" t="inlineStr">
        <is>
          <t>sefaria-siddur-ashkenaz-shabbat-maariv-blessings-of-the-shema-first-blessing-before-shema</t>
        </is>
      </c>
    </row>
    <row r="297" ht="114" customHeight="1">
      <c r="A297" s="7">
        <f>IF(LEN(TRIM(F297))=0,"Approved","Comment to address")</f>
        <v/>
      </c>
      <c r="B297" s="12" t="inlineStr">
        <is>
          <t>Second Blessing before Shema</t>
        </is>
      </c>
      <c r="C297" s="12" t="inlineStr">
        <is>
          <t>shabbat</t>
        </is>
      </c>
      <c r="D297" s="12" t="inlineStr">
        <is>
          <t>Ashkenaz</t>
        </is>
      </c>
      <c r="E297" s="13" t="inlineStr">
        <is>
          <t>אַהֲבַת עוֹלָם בֵּית יִשְׂרָאֵל עַמְּ֒ךָ אָהָֽבְתָּ תּוֹרָה וּמִצְוֹת חֻקִּים וּמִשְׁפָּטִים אוֹתָֽנוּ לִמַּֽדְתָּ: עַל כֵּן יְהֹוָה אֱלֹהֵֽינוּ בְּשָׁכְבֵֽנוּ וּבְקוּמֵֽנוּ נָשִֽׂיחַ בְּחֻקֶּֽיךָ וְנִשְׂמַח בְּדִבְרֵי תוֹרָתֶֽךָ וּבְמִצְוֹתֶֽיךָ לְעוֹלָם וָעֶד: כִּי הֵם חַיֵּֽינוּ וְאֹֽרֶךְ יָמֵֽינוּ וּבָהֶם נֶהְגֶּה יוֹמָם וָלָֽיְלָה: וְאַהֲבָתְ֒ךָ אַל תָּסִיר מִמֶּֽנּוּ לְעוֹלָמִים: בָּרוּךְ אַתָּה יְהֹוָה אוֹהֵב עַמּוֹ יִשְׂרָאֵל:</t>
        </is>
      </c>
      <c r="F297" s="10" t="inlineStr"/>
      <c r="G297" s="14" t="inlineStr">
        <is>
          <t>Siddur Ashkenaz, Shabbat, Maariv, Blessings of the Shema, Second Blessing before Shema</t>
        </is>
      </c>
      <c r="H297" s="12" t="inlineStr">
        <is>
          <t>The Metsudah siddur, 1981 — CC-BY</t>
        </is>
      </c>
      <c r="I297" s="12" t="inlineStr">
        <is>
          <t>sefaria-siddur-ashkenaz-shabbat-maariv-blessings-of-the-shema-second-blessing-before-shema</t>
        </is>
      </c>
    </row>
    <row r="298" ht="318" customHeight="1">
      <c r="A298" s="7">
        <f>IF(LEN(TRIM(F298))=0,"Approved","Comment to address")</f>
        <v/>
      </c>
      <c r="B298" s="8" t="inlineStr">
        <is>
          <t>First Blessing after Shema</t>
        </is>
      </c>
      <c r="C298" s="8" t="inlineStr">
        <is>
          <t>shabbat</t>
        </is>
      </c>
      <c r="D298" s="8" t="inlineStr">
        <is>
          <t>Ashkenaz</t>
        </is>
      </c>
      <c r="E298" s="9" t="inlineStr">
        <is>
          <t>וֶאֱמוּנָה כָּל־זֹאת וְקַיָּם עָלֵֽינוּ כִּי הוּא יְהֹוָה אֱלֹהֵֽינוּ וְאֵין זוּלָתוֹ וַאֲנַֽחְנוּ יִשְׂרָאֵל עַמּוֹ: הַפּוֹדֵֽנוּ מִיַּד מְלָכִים מַלְכֵּֽנוּ הַגּוֹאֲלֵֽנוּ מִכַּף כָּל־הֶעָרִיצִים: הָאֵל הַנִּפְרָע לָֽנוּ מִצָּרֵֽינוּ וְהַמְשַׁלֵּם גְּמוּל לְכָל אֹיְ֒בֵי נַפְשֵֽׁנוּ: הָעֹשֶׂה גְדוֹלוֹת עַד־אֵין חֵֽקֶר וְנִפְלָאוֹת עַד־אֵין מִסְפָּר: הַשָּׂם נַפְשֵֽׁנוּ בַּחַיִּים וְלֹא־נָתַן לַמּוֹט רַגְלֵֽנוּ הַמַּדְרִיכֵֽנוּ עַל בָּמוֹת אֹיְ֒בֵֽינוּ וַיָּֽרֶם קַרְנֵֽנוּ עַל כָּל־שׂוֹנְ֒אֵֽינוּ: הָעֹֽשֶׂה לָּֽנוּ נִסִּים וּנְקָמָה בְּפַרְעֹה אוֹתוֹת וּמוֹפְ֒תִים בְּאַדְמַת בְּנֵי חָם: הַמַּכֶּה בְעֶבְרָתוֹ כָּל בְּכוֹרֵי מִצְרָֽיִם וַיּוֹצֵא אֶת־עַמּוֹ יִשְׂרָאֵל מִתּוֹכָם לְחֵרוּת עוֹלָם: הַמַּעֲבִיר בָּנָיו בֵּין גִּזְרֵי יַם סוּף אֶת־רוֹדְ֒פֵיהֶם וְאֶת־שׂוֹנְ֒אֵיהֶם בִּתְהוֹמוֹת טִבַּע: וְרָאוּ בָנָיו גְּבוּרָתוֹ שִׁבְּ֒חוּ וְהוֹדוּ לִשְׁמוֹ: וּמַלְכוּתוֹ בְרָצוֹן קִבְּ֒לוּ עֲלֵיהֶם משֶׁה וּבְנֵי יִשְׂרָאֵל לְךָ עָנוּ שִׁירָה בְּשִׂמְחָה רַבָּה וְאָמְ֒רוּ כֻלָּם:
מִי כָמֹֽכָה בָּאֵלִם יְהֹוָה מִי כָּמֹֽכָה נֶאְדָּר בַּקֹּֽדֶשׁ נוֹרָא תְהִלֹּת עֹֽשֵׂה פֶֽלֶא: מַלְכוּתְךָ רָאוּ בָנֶֽיךָ בּוֹקֵֽעַ יָם לִפְנֵי משֶׁה זֶה אֵלִי עָנוּ וְאָמְ֒רוּ:
יְהֹוָה יִמְלֹךְ לְעֹלָם וָעֶד: וְנֶאֱמַר כִּי־פָדָה יְהֹוָה אֶת יַעֲקֹב וּגְאָלוֹ מִיַּד חָזָק מִמֶּֽנּוּ. בָּרוּךְ אַתָּה יְהֹוָה גָּאַל יִשְׂרָאֵל:</t>
        </is>
      </c>
      <c r="F298" s="10" t="inlineStr"/>
      <c r="G298" s="11" t="inlineStr">
        <is>
          <t>Siddur Ashkenaz, Shabbat, Maariv, Blessings of the Shema, First Blessing after Shema</t>
        </is>
      </c>
      <c r="H298" s="8" t="inlineStr">
        <is>
          <t>The Metsudah siddur, 1981 — CC-BY</t>
        </is>
      </c>
      <c r="I298" s="8" t="inlineStr">
        <is>
          <t>sefaria-siddur-ashkenaz-shabbat-maariv-blessings-of-the-shema-first-blessing-after-shema</t>
        </is>
      </c>
    </row>
    <row r="299" ht="165" customHeight="1">
      <c r="A299" s="7">
        <f>IF(LEN(TRIM(F299))=0,"Approved","Comment to address")</f>
        <v/>
      </c>
      <c r="B299" s="12" t="inlineStr">
        <is>
          <t>Second Blessing after Shema</t>
        </is>
      </c>
      <c r="C299" s="12" t="inlineStr">
        <is>
          <t>shabbat</t>
        </is>
      </c>
      <c r="D299" s="12" t="inlineStr">
        <is>
          <t>Ashkenaz</t>
        </is>
      </c>
      <c r="E299" s="13" t="inlineStr">
        <is>
          <t>הַשְׁכִּיבֵֽנוּ יְהֹוָה אֱלֹהֵֽינוּ לְשָׁלוֹם וְהַעֲמִידֵֽנוּ מַלְכֵּֽנוּ לְחַיִּים וּפְרוֹשׂ עָלֵֽינוּ סֻכַּת שְׁלוֹמֶֽךָ וְתַקְּ֒נֵֽנוּ בְּעֵצָה טוֹבָה מִלְּ֒פָנֶֽיךָ וְהוֹשִׁיעֵֽנוּ לְמַֽעַן שְׁמֶֽךָ וְהָגֵן בַּעֲדֵֽנוּ וְהָסֵר מֵעָלֵֽינוּ אוֹיֵב דֶּֽבֶר וְחֶֽרֶב וְרָעָב וְיָגוֹן וְהָסֵר שָׂטָן מִלְּ֒פָנֵֽינוּ וּמֵאַחֲרֵֽינוּ וּבְצֵל כְּנָפֶֽיךָ תַּסְתִּירֵֽנוּ כִּי אֵל שׁוֹמְ֒רֵֽנוּ וּמַצִּילֵֽנוּ אָֽתָּה כִּי אֵל מֶֽלֶךְ חַנּוּן וְרַחוּם אָֽתָּה וּשְׁמוֹר צֵאתֵֽנוּ וּבוֹאֵֽנוּ לְחַיִּים וּלְשָׁלוֹם מֵעַתָּה וְעַד עוֹלָם: וּפְרוֹשׂ עָלֵֽינוּ סֻכַּת שְׁלוֹמֶךָ: בָּרוּךְ אַתָּה יְהֹוָה הַפּוֹרֵשׂ סֻכַּת שָׁלוֹם עָלֵֽינוּ וְעַל כָּל עַמּוֹ יִשְׂרָאֵל וְעַל יְרוּשָׁלָֽיִם:</t>
        </is>
      </c>
      <c r="F299" s="10" t="inlineStr"/>
      <c r="G299" s="14" t="inlineStr">
        <is>
          <t>Siddur Ashkenaz, Shabbat, Maariv, Blessings of the Shema, Second Blessing after Shema</t>
        </is>
      </c>
      <c r="H299" s="12" t="inlineStr">
        <is>
          <t>The Metsudah siddur, 1981 — CC-BY</t>
        </is>
      </c>
      <c r="I299" s="12" t="inlineStr">
        <is>
          <t>sefaria-siddur-ashkenaz-shabbat-maariv-blessings-of-the-shema-second-blessing-after-shema</t>
        </is>
      </c>
    </row>
    <row r="300" ht="148" customHeight="1">
      <c r="A300" s="7">
        <f>IF(LEN(TRIM(F300))=0,"Approved","Comment to address")</f>
        <v/>
      </c>
      <c r="B300" s="8" t="inlineStr">
        <is>
          <t>Half Kaddish</t>
        </is>
      </c>
      <c r="C300" s="8" t="inlineStr">
        <is>
          <t>shabbat</t>
        </is>
      </c>
      <c r="D300" s="8" t="inlineStr">
        <is>
          <t>Ashkenaz</t>
        </is>
      </c>
      <c r="E300"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t>
        </is>
      </c>
      <c r="F300" s="10" t="inlineStr"/>
      <c r="G300" s="11" t="inlineStr">
        <is>
          <t>Siddur Ashkenaz, Shabbat, Maariv, Half Kaddish</t>
        </is>
      </c>
      <c r="H300" s="8" t="inlineStr">
        <is>
          <t>The Metsudah siddur, 1981 — CC-BY</t>
        </is>
      </c>
      <c r="I300" s="8" t="inlineStr">
        <is>
          <t>sefaria-siddur-ashkenaz-shabbat-maariv-half-kaddish</t>
        </is>
      </c>
    </row>
    <row r="301" ht="63" customHeight="1">
      <c r="A301" s="7">
        <f>IF(LEN(TRIM(F301))=0,"Approved","Comment to address")</f>
        <v/>
      </c>
      <c r="B301" s="12" t="inlineStr">
        <is>
          <t>Holines of God's Name</t>
        </is>
      </c>
      <c r="C301" s="12" t="inlineStr">
        <is>
          <t>shabbat</t>
        </is>
      </c>
      <c r="D301" s="12" t="inlineStr">
        <is>
          <t>Ashkenaz</t>
        </is>
      </c>
      <c r="E301" s="13" t="inlineStr">
        <is>
          <t>אַתָּה קָדוֹשׁ וְשִׁמְךָ קָדוֹשׁ וּקְדוֹשִׁים בְּכָל־יוֹם יְהַלְלֽוּךָ סֶּֽלָה. בָּרוּךְ אַתָּה יְהֹוָה הָאֵל הַקָּדוֹשׁ: בעשי"ת מסיים: בָּרוּךְ אַתָּה יְהֹוָה הַמֶּֽלֶךְ הַקָּדוֹשׁ:</t>
        </is>
      </c>
      <c r="F301" s="10" t="inlineStr"/>
      <c r="G301" s="14" t="inlineStr">
        <is>
          <t>Siddur Ashkenaz, Shabbat, Maariv, Amidah, Holines of God's Name</t>
        </is>
      </c>
      <c r="H301" s="12" t="inlineStr">
        <is>
          <t>The Metsudah siddur, 1981 — CC-BY</t>
        </is>
      </c>
      <c r="I301" s="12" t="inlineStr">
        <is>
          <t>sefaria-siddur-ashkenaz-shabbat-maariv-amidah-holines-of-god-s-name</t>
        </is>
      </c>
    </row>
    <row r="302" ht="216" customHeight="1">
      <c r="A302" s="7">
        <f>IF(LEN(TRIM(F302))=0,"Approved","Comment to address")</f>
        <v/>
      </c>
      <c r="B302" s="8" t="inlineStr">
        <is>
          <t>Sanctity of the Day</t>
        </is>
      </c>
      <c r="C302" s="8" t="inlineStr">
        <is>
          <t>shabbat</t>
        </is>
      </c>
      <c r="D302" s="8" t="inlineStr">
        <is>
          <t>Ashkenaz</t>
        </is>
      </c>
      <c r="E302" s="9" t="inlineStr">
        <is>
          <t>אַתָּה קִדַּֽשְׁתָּ אֶת יוֹם הַשְּׁ֒בִיעִי לִשְׁמֶךָ. תַּכְלִית מַעֲשֵׂה שָׁמַֽיִם וָאָֽרֶץ. וּבֵרַכְתּוֹ מִכָּל הַיָּמִים. וְקִדַּשְׁתּוֹ מִכָּל הַזְּ֒מַנִּים וְכֵן כָּתוּב בְּתוֹרָתֶֽךָ:
וַיְכֻלּוּ הַשָּׁמַֽיִם וְהָאָֽרֶץ וְכָל־צְבָאָם: וַיְכַל אֱלֹהִים בַּיּוֹם הַשְּׁ֒בִיעִי מְלַאכְתּוֹ אֲשֶׁר עָשָׂה. וַיִּשְׁבֹּת בַּיּוֹם הַשְּׁ֒בִיעִי מִכָּל־מְלַאכְתּוֹ אֲשֶׁר עָשָׂה: וַיְבָֽרֶךְ אֱלֹהִים אֶת־יוֹם הַשְּׁ֒בִיעִי וַיְקַדֵּשׁ אֹתוֹ. כִּי בוֹ שָׁבַת מִכָּל־מְלַאכְתּוֹ אֲשֶׁר־בָּרָא אֱלֹהִים לַעֲשׂוֹת:
אֱלֹהֵֽינוּ וֵאלֹהֵי אֲבוֹתֵֽינוּ רְצֵה בִמְנוּחָתֵֽנוּ. קַדְּ֒שֵֽׁנוּ בְּמִצְוֹתֶֽיךָ וְתֵן חֶלְקֵֽנוּ בְּתוֹרָתֶֽךָ שַׂבְּ֒עֵֽנוּ מִטּוּבֶֽךָ. וְשַׂמְּחֵנוּ בִּישׁוּעָתֶֽךָ. וְטַהֵר לִבֵּֽנוּ לְעָבְדְּ֒ךָ בֶּאֱמֶת. וְהַנְחִילֵֽנוּ יְהֹוָה אֱלֹהֵֽינוּ בְּאַהֲבָה וּבְרָצוֹן שַׁבַּת קָדְשֶֽׁךָ. וְיָנֽוּחוּ בָהּ יִשְׂרָאֵל מְקַדְּ֒שֵׁי שְׁמֶֽךָ. בָּרוּךְ אַתָּה יְהֹוָה מְקַדֵּשׁ הַשַּׁבָּת:</t>
        </is>
      </c>
      <c r="F302" s="10" t="inlineStr"/>
      <c r="G302" s="11" t="inlineStr">
        <is>
          <t>Siddur Ashkenaz, Shabbat, Maariv, Amidah, Sanctity of the Day</t>
        </is>
      </c>
      <c r="H302" s="8" t="inlineStr">
        <is>
          <t>The Metsudah siddur, 1981 — CC-BY</t>
        </is>
      </c>
      <c r="I302" s="8" t="inlineStr">
        <is>
          <t>sefaria-siddur-ashkenaz-shabbat-maariv-amidah-sanctity-of-the-day</t>
        </is>
      </c>
    </row>
    <row r="303" ht="267" customHeight="1">
      <c r="A303" s="7">
        <f>IF(LEN(TRIM(F303))=0,"Approved","Comment to address")</f>
        <v/>
      </c>
      <c r="B303" s="12" t="inlineStr">
        <is>
          <t>Temple Service</t>
        </is>
      </c>
      <c r="C303" s="12" t="inlineStr">
        <is>
          <t>shabbat</t>
        </is>
      </c>
      <c r="D303" s="12" t="inlineStr">
        <is>
          <t>Ashkenaz</t>
        </is>
      </c>
      <c r="E303" s="13" t="inlineStr">
        <is>
          <t>רְצֵה יְהֹוָה אֱלֹהֵֽינוּ בְּעַמְּךָ יִשְׂרָאֵל וּבִתְפִלָּתָם וְהָשֵׁב אֶת הָעֲבוֹדָה לִדְבִיר בֵּיתֶֽךָ וְאִשֵּׁי יִשְׂרָאֵל וּתְפִלָּתָם בְּאַהֲבָה תְקַבֵּל בְּרָצוֹן וּתְהִי לְרָצוֹן תָּמִיד עֲבוֹדַת יִשְׂרָאֵל עַמֶּֽךָ:
בראש חדש ובחול המועד אומרים זה: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לר"ח: רֹאשׁ הַחֹֽדֶשׁ הַזֶּה: לפסח: חַג הַמַּצּוֹת הַזֶּה: לסכות: חַג הַסֻּכּוֹת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וְתֶחֱזֶֽינָה עֵינֵֽינוּ בְּשׁוּבְ֒ךָ לְצִיּוֹן בְּרַחֲמִים: בָּרוּךְ אַתָּה יְהֹוָה הַמַּחֲזִיר שְׁכִינָתוֹ לְצִיּוֹן:</t>
        </is>
      </c>
      <c r="F303" s="10" t="inlineStr"/>
      <c r="G303" s="14" t="inlineStr">
        <is>
          <t>Siddur Ashkenaz, Shabbat, Maariv, Amidah, Temple Service</t>
        </is>
      </c>
      <c r="H303" s="12" t="inlineStr">
        <is>
          <t>The Metsudah siddur, 1981 — CC-BY</t>
        </is>
      </c>
      <c r="I303" s="12" t="inlineStr">
        <is>
          <t>sefaria-siddur-ashkenaz-shabbat-maariv-amidah-temple-service</t>
        </is>
      </c>
    </row>
    <row r="304" ht="131" customHeight="1">
      <c r="A304" s="7">
        <f>IF(LEN(TRIM(F304))=0,"Approved","Comment to address")</f>
        <v/>
      </c>
      <c r="B304" s="8" t="inlineStr">
        <is>
          <t>Peace</t>
        </is>
      </c>
      <c r="C304" s="8" t="inlineStr">
        <is>
          <t>shabbat</t>
        </is>
      </c>
      <c r="D304" s="8" t="inlineStr">
        <is>
          <t>Ashkenaz</t>
        </is>
      </c>
      <c r="E304" s="9" t="inlineStr">
        <is>
          <t>שָׁלוֹם רָב עַל יִשְׂרָאֵל עַמְּ֒ךָ תָּשִׂים לְעוֹלָם כִּי אַתָּה הוּא מֶֽלֶךְ אָדוֹן לְכָל־הַשָּׁלוֹם וְטוֹב בְּעֵינֶֽיךָ לְבָרֵךְ אֶת־עַמְּ֒ךָ יִשְׂרָאֵל בְּכָל־עֵת וּבְכָל־שָׁעָה בִּשְׁלוֹמֶֽךָ.
בעשי"ת: בְּסֵֽפֶר חַיִּים בְּרָכָה וְשָׁלוֹם וּפַרְנָסָה טוֹבָה נִזָּכֵר וְנִכָּתֵב לְפָנֶֽיךָ אֲנַֽחְנוּ וְכָל עַמְּךָ בֵּית יִשְׂרָאֵל לְחַיִּים טוֹבִים וּלְשָׁלוֹם: (בָּרוּךְ אַתָּה יְהֹוָה עֹשֶׂה הַשָּׁלוֹם:)
בָּרוּךְ אַתָּה יְהֹוָה הַמְבָרֵךְ אֶת־עַמּוֹ יִשְׂרָאֵל בַּשָּׁלוֹם:</t>
        </is>
      </c>
      <c r="F304" s="10" t="inlineStr"/>
      <c r="G304" s="11" t="inlineStr">
        <is>
          <t>Siddur Ashkenaz, Shabbat, Maariv, Amidah, Peace</t>
        </is>
      </c>
      <c r="H304" s="8" t="inlineStr">
        <is>
          <t>The Metsudah siddur, 1981 — CC-BY</t>
        </is>
      </c>
      <c r="I304" s="8" t="inlineStr">
        <is>
          <t>sefaria-siddur-ashkenaz-shabbat-maariv-amidah-peace</t>
        </is>
      </c>
    </row>
    <row r="305" ht="267" customHeight="1">
      <c r="A305" s="7">
        <f>IF(LEN(TRIM(F305))=0,"Approved","Comment to address")</f>
        <v/>
      </c>
      <c r="B305" s="12" t="inlineStr">
        <is>
          <t>Concluding Passage</t>
        </is>
      </c>
      <c r="C305" s="12" t="inlineStr">
        <is>
          <t>shabbat</t>
        </is>
      </c>
      <c r="D305" s="12" t="inlineStr">
        <is>
          <t>Ashkenaz</t>
        </is>
      </c>
      <c r="E305" s="13" t="inlineStr">
        <is>
          <t>יִהְיוּ לְרָצוֹן אִמְ֒רֵי פִי וְהֶגְיוֹן לִבִּי לְפָנֶֽיךָ יְהֹוָה צוּרִי וְגוֹאֲלִי:
אֱלֹהַי נְצוֹר לְשׁוֹנִי מֵרָע וּשְׂפָתַי מִדַּבֵּר מִרְמָה. וְלִמְקַלְלַי נַפְשִׁי תִדּוֹם וְנַפְשִׁי כֶּעָפָר לַכֹּל תִּהְיֶה. פְּתַח לִבִּי בְּתוֹרָתֶֽךָ וּבְמִצְוֹתֶֽיךָ תִּרְדֹּף נַפְשִׁי. וְכֹל הַחוֹשְׁבִים עָלַי רָעָה מְהֵרָה הָפֵר עֲצָתָם וְקַלְקֵל מַחֲשַׁבְתָּם: עֲשֵׂה לְמַֽעַן שְׁמֶֽךָ עֲשֵׂה לְמַֽעַן יְמִינֶֽךָ עֲשֵׂה לְמַֽעַן קְדֻשָּׁתֶֽךָ עֲשֵׂה לְמַֽעַן תּוֹרָתֶֽךָ. לְמַֽעַן יֵחָלְצוּן יְדִידֶֽיךָ הוֹשִֽׁיעָה יְמִינְךָ וַעֲנֵֽנִי: יִהְיוּ לְרָצוֹן אִמְרֵי פִי וְהֶגְיוֹן לִבִּי לְפָנֶֽיךָ יְהֹוָה צוּרִי וְגוֹאֲלִי:
עֹשֶׂה (בעשי"ת הַשָּׁלוֹם) שָׁלוֹם בִּמְרוֹמָיו הוּא יַעֲשֶׂה שָׁלוֹם עָלֵֽינוּ וְעַל כָּל־יִשְׂרָאֵל וְאִמְרוּ אָמֵן:
יְהִי רָצוֹן מִלְּ֒פָנֶֽיךָ יְהֹוָה אֱלֹהֵֽינוּ וֵאלֹהֵי אֲבוֹתֵֽינוּ שֶׁיִּבָּנֶה בֵּית הַמִּקְדָּשׁ בִּמְהֵרָה בְיָמֵֽינוּ וְתֵן חֶלְקֵֽנוּ בְּתוֹרָתֶֽךָ: וְשָׁם נַעֲבָדְ֒ךָ בְּיִרְאָה כִּימֵי עוֹלָם וּכְשָׁנִים קַדְמוֹנִיּוֹת: וְעָרְ֒בָה לַיהוָֹה מִנְחַת יְהוּדָה וִירוּשָׁלָֽםִ כִּימֵי עוֹלָם וּכְשָׁנִים קַדְמוֹנִיּוֹת:</t>
        </is>
      </c>
      <c r="F305" s="10" t="inlineStr"/>
      <c r="G305" s="14" t="inlineStr">
        <is>
          <t>Siddur Ashkenaz, Shabbat, Maariv, Amidah, Concluding Passage</t>
        </is>
      </c>
      <c r="H305" s="12" t="inlineStr">
        <is>
          <t>The Metsudah siddur, 1981 — CC-BY</t>
        </is>
      </c>
      <c r="I305" s="12" t="inlineStr">
        <is>
          <t>sefaria-siddur-ashkenaz-shabbat-maariv-amidah-concluding-passage</t>
        </is>
      </c>
    </row>
    <row r="306" ht="97" customHeight="1">
      <c r="A306" s="7">
        <f>IF(LEN(TRIM(F306))=0,"Approved","Comment to address")</f>
        <v/>
      </c>
      <c r="B306" s="8" t="inlineStr">
        <is>
          <t>Vay'chulu</t>
        </is>
      </c>
      <c r="C306" s="8" t="inlineStr">
        <is>
          <t>shabbat</t>
        </is>
      </c>
      <c r="D306" s="8" t="inlineStr">
        <is>
          <t>Ashkenaz</t>
        </is>
      </c>
      <c r="E306" s="9" t="inlineStr">
        <is>
          <t>הש"ץ והקהל אומרים ויכלו
וַיְכֻלּוּ הַשָּׁמַֽיִם וְהָאָֽרֶץ וְכָל־צְבָאָם: וַיְכַל אֱלֹהִים בַּיּוֹם הַשְּׁ֒בִיעִי מְלַאכְתּוֹ אֲשֶׁר עָשָׂה. וַיִּשְׁבֹּת בַּיּוֹם הַשְּׁ֒בִיעִי מִכָּל־מְלַאכְתּוֹ אֲשֶׁר עָשָׂה: וַיְבָֽרֶךְ אֱלֹהִים אֶת־יוֹם הַשְּׁ֒בִיעִי וַיְקַדֵּשׁ אֹתוֹ. כִּי בוֹ שָׁבַת מִכָּל־מְלַאכְתּוֹ אֲשֶׁר־בָּרָא אֱלֹהִים לַעֲשׂוֹת:</t>
        </is>
      </c>
      <c r="F306" s="10" t="inlineStr"/>
      <c r="G306" s="11" t="inlineStr">
        <is>
          <t>Siddur Ashkenaz, Shabbat, Maariv, Vay'chulu</t>
        </is>
      </c>
      <c r="H306" s="8" t="inlineStr">
        <is>
          <t>The Metsudah siddur, 1981 — CC-BY</t>
        </is>
      </c>
      <c r="I306" s="8" t="inlineStr">
        <is>
          <t>sefaria-siddur-ashkenaz-shabbat-maariv-vay-chulu</t>
        </is>
      </c>
    </row>
    <row r="307" ht="301" customHeight="1">
      <c r="A307" s="7">
        <f>IF(LEN(TRIM(F307))=0,"Approved","Comment to address")</f>
        <v/>
      </c>
      <c r="B307" s="12" t="inlineStr">
        <is>
          <t>Me'ein Sheva</t>
        </is>
      </c>
      <c r="C307" s="12" t="inlineStr">
        <is>
          <t>shabbat</t>
        </is>
      </c>
      <c r="D307" s="12" t="inlineStr">
        <is>
          <t>Ashkenaz</t>
        </is>
      </c>
      <c r="E307" s="13" t="inlineStr">
        <is>
          <t>אין החזן מחזיר התפלה עצמה אבל חוזר מעין שבע משום י"ט שחל בשבת שא"א בו ויכולו. גם להוציא שאינו בקי. וצריך לאומרו בעמידה כעדות.
בָּרוּךְ אַתָּה יְהֹוָה אֱלֹהֵֽינוּ וֵאלֹהֵי אֲבוֹתֵֽינוּ אֱלֹהֵי אַבְרָהָם אֱלֹהֵי יִצְחָק וֵאלֹהֵי יַעֲקֹב הָאֵל הַגָּדוֹל הַגִּבּוֹר וְהַנּוֹרָא. אֵל עֶלְיוֹן קוֹנֵה שָׁמַֽיִם וָאָֽרֶץ:
מעין ז' יאמרו הקהל בלי פתיחה וחתימה. וכן היחיד אומרו.
מָגֵן אָבוֹת בִּדְבָרוֹ. מְחַיֵּה מֵתִים בְּמַאֲמָרוֹ. הָאֵל הַקָּדוֹשׁ (הַמֶּלֶךְ הַקָּדוֹשׁ) שֶׁאֵין כָּמֽוֹהוּ. הַמֵּנִֽיחַ לְעַמּוֹ בְּיוֹם שַׁבַּת קָדְשׁוֹ. כִּי בָם רָצָה לְהָנִֽיחַ לָהֶם. לְפָנָיו נַעֲבוֹד בְּיִרְאָה וָפַֽחַד. וְנוֹדֶה לִשְׁמוֹ בְּכָל יוֹם תָּמִיד מֵעֵין הַבְּ֒רָכוֹת: אֵל הַהוֹדָאוֹת. אֲדוֹן הַשָּׁלוֹם. מְקַדֵּשׁ הַשַּׁבָּת וּמְבָרֵךְ שְׁבִיעִי. וּמֵנִֽיחַ בִּקְדֻשָּׁה לְעַם מְדֻשְּׁ֒נֵי עֹֽנֶג זֵֽכֶר לְמַעֲשֵׂה בְרֵאשִׁית:
אֱלֹהֵֽינוּ וֵאלֹהֵי אֲבוֹתֵֽינוּ רְצֵה בִמְנוּחָתֵֽנוּ. קַדְּ֒שֵֽׁנוּ בְּמִצְוֹתֶֽיךָ וְתֵן חֶלְקֵֽנוּ בְּתוֹרָתֶֽךָ שַׂבְּ֒עֵֽנוּ מִטּוּבֶֽךָ. וְשַׂמְּחֵנוּ בִּישׁוּעָתֶֽךָ. וְטַהֵר לִבֵּֽנוּ לְעָבְדְּ֒ךָ בֶּאֱמֶת. וְהַנְחִילֵֽנוּ יְהֹוָה אֱלֹהֵֽינוּ בְּאַהֲבָה וּבְרָצוֹן שַׁבַּת קָדְשֶֽׁךָ. וְיָנֽוּחוּ בָהּ יִשְׂרָאֵל מְקַדְּ֒שֵׁי שְׁמֶֽךָ. בָּרוּךְ אַתָּה יְהֹוָה מְקַדֵּשׁ הַשַּׁבָּת:</t>
        </is>
      </c>
      <c r="F307" s="10" t="inlineStr"/>
      <c r="G307" s="14" t="inlineStr">
        <is>
          <t>Siddur Ashkenaz, Shabbat, Maariv, Me'ein Sheva</t>
        </is>
      </c>
      <c r="H307" s="12" t="inlineStr">
        <is>
          <t>The Metsudah siddur, 1981 — CC-BY</t>
        </is>
      </c>
      <c r="I307" s="12" t="inlineStr">
        <is>
          <t>sefaria-siddur-ashkenaz-shabbat-maariv-me-ein-sheva</t>
        </is>
      </c>
    </row>
    <row r="308" ht="267" customHeight="1">
      <c r="A308" s="7">
        <f>IF(LEN(TRIM(F308))=0,"Approved","Comment to address")</f>
        <v/>
      </c>
      <c r="B308" s="8" t="inlineStr">
        <is>
          <t>Kaddish Shalem</t>
        </is>
      </c>
      <c r="C308" s="8" t="inlineStr">
        <is>
          <t>shabbat</t>
        </is>
      </c>
      <c r="D308" s="8" t="inlineStr">
        <is>
          <t>Ashkenaz</t>
        </is>
      </c>
      <c r="E308"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תִּתְקַבֵּל צְלוֹתְ֒הוֹן וּבָעוּתְ֒הוֹן דְּכָל בֵּית יִשְׂרָאֵל קֳדָם אֲבוּהוֹן דִּי בִשְׁ֒מַיָּא וְאִמְרוּ אָמֵן:
יְהֵא שְׁלָמָֽא רַבָּֽא מִן־שְׁמַיָּֽא וְחַיִּים עָלֵֽינוּ וְעַל־כָּל־יִשְׂרָאֵל וְאִמְרוּ אָמֵן:
עוֹשֶׂה שָׁלוֹם (בעשי"ת הַשָּׁלוֹם) בִּמְרוֹמָיו הוּא יַעֲשֶׂה שָׁלוֹם עָלֵֽינוּ וְעַל כָּל יִשְׂרָאֵל וְאִמְרוּ אָמֵן:</t>
        </is>
      </c>
      <c r="F308" s="10" t="inlineStr"/>
      <c r="G308" s="11" t="inlineStr">
        <is>
          <t>Siddur Ashkenaz, Shabbat, Maariv, Kaddish Shalem</t>
        </is>
      </c>
      <c r="H308" s="8" t="inlineStr">
        <is>
          <t>The Metsudah siddur, 1981 — CC-BY</t>
        </is>
      </c>
      <c r="I308" s="8" t="inlineStr">
        <is>
          <t>sefaria-siddur-ashkenaz-shabbat-maariv-kaddish-shalem</t>
        </is>
      </c>
    </row>
    <row r="309" ht="352" customHeight="1">
      <c r="A309" s="7">
        <f>IF(LEN(TRIM(F309))=0,"Approved","Comment to address")</f>
        <v/>
      </c>
      <c r="B309" s="12" t="inlineStr">
        <is>
          <t>Aleinu</t>
        </is>
      </c>
      <c r="C309" s="12" t="inlineStr">
        <is>
          <t>shabbat</t>
        </is>
      </c>
      <c r="D309" s="12" t="inlineStr">
        <is>
          <t>Ashkenaz</t>
        </is>
      </c>
      <c r="E309" s="13"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t>
        </is>
      </c>
      <c r="F309" s="10" t="inlineStr"/>
      <c r="G309" s="14" t="inlineStr">
        <is>
          <t>Siddur Ashkenaz, Shabbat, Maariv, Aleinu</t>
        </is>
      </c>
      <c r="H309" s="12" t="inlineStr">
        <is>
          <t>The Metsudah siddur, 1981 — CC-BY</t>
        </is>
      </c>
      <c r="I309" s="12" t="inlineStr">
        <is>
          <t>sefaria-siddur-ashkenaz-shabbat-maariv-aleinu</t>
        </is>
      </c>
    </row>
    <row r="310" ht="233" customHeight="1">
      <c r="A310" s="7">
        <f>IF(LEN(TRIM(F310))=0,"Approved","Comment to address")</f>
        <v/>
      </c>
      <c r="B310" s="8" t="inlineStr">
        <is>
          <t>Mourner's Kaddish</t>
        </is>
      </c>
      <c r="C310" s="8" t="inlineStr">
        <is>
          <t>shabbat</t>
        </is>
      </c>
      <c r="D310" s="8" t="inlineStr">
        <is>
          <t>Ashkenaz</t>
        </is>
      </c>
      <c r="E310" s="9" t="inlineStr">
        <is>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310" s="10" t="inlineStr"/>
      <c r="G310" s="11" t="inlineStr">
        <is>
          <t>Siddur Ashkenaz, Shabbat, Maariv, Mourner's Kaddish</t>
        </is>
      </c>
      <c r="H310" s="8" t="inlineStr">
        <is>
          <t>The Metsudah siddur, 1981 — CC-BY</t>
        </is>
      </c>
      <c r="I310" s="8" t="inlineStr">
        <is>
          <t>sefaria-siddur-ashkenaz-shabbat-maariv-mourner-s-kaddish</t>
        </is>
      </c>
    </row>
    <row r="311" ht="409" customHeight="1">
      <c r="A311" s="7">
        <f>IF(LEN(TRIM(F311))=0,"Approved","Comment to address")</f>
        <v/>
      </c>
      <c r="B311" s="12" t="inlineStr">
        <is>
          <t>LeDavid</t>
        </is>
      </c>
      <c r="C311" s="12" t="inlineStr">
        <is>
          <t>shabbat</t>
        </is>
      </c>
      <c r="D311" s="12" t="inlineStr">
        <is>
          <t>Ashkenaz</t>
        </is>
      </c>
      <c r="E311" s="13" t="inlineStr">
        <is>
          <t>מנהג טוב לומר אחר כל תפלה מזמור לדוד ה׳‬ אורי וישעי. ובפרט מר״ח אלול עד הושענא רבא (מורה באצבע סי' לז).
לְדָוִד יְהֹוָה אוֹרִי וְיִשְׁעִי מִמִּי אִירָא יְהֹוָה מָעוֹז חַיַּי מִמִּי אֶפְחָד: בִּקְ֒רֹב עָלַי מְרֵעִים לֶאֱכֹל אֶת בְּשָׂרִי צָרַי וְאֹיְ֒בַי לִי הֵֽמָּה כָשְׁ֒לוּ וְנָפָֽלוּ: אִם תַּחֲנֶה עָלַי מַחֲנֶה לֺא יִירָא לִבִּי אִם תָּקוּם עָלַי מִלְחָמָה בְּזֹאת אֲנִי בוֹטֵֽחַ: אַחַת שָׁאַֽלְתִּי מֵאֵת יְהֹוָה אוֹתָהּ אֲבַקֵּשׁ שִׁבְתִּי בְּבֵית יְהֹוָה כָּל יְמֵי חַיַּי לַחֲזוֹת בְּנֹֽעַם יְהֹוָה וּלְבַקֵּר בְּהֵיכָלוֹ: כִּי יִצְפְּ֒נֵֽנִי בְּסֻכֹּה בְּיוֹם רָעָה יַסְתִּרֵֽנִי בְּסֵֽתֶר אָהֳלוֹ בְּצוּר יְרוֹמְ֒מֵֽנִי: וְעַתָּה יָרוּם רֹאשִׁי עַל אֹיְ֒בַי סְבִיבוֹתָי וְאֶזְבְּחָה בְאָהֳלוֹ זִבְחֵי תְרוּעָה אָשִֽׁירָה וַאֲזַמְּ֒רָה לַיהוָֹה: שְׁמַע יְהֹוָה קוֹלִי אֶקְרָא וְחָנֵּֽנִי וַעֲנֵֽנִי: לְךָ אָמַר לִבִּי בַּקְּ֒שׁוּ פָנָי אֶת פָּנֶֽיךָ יְהֹוָה אֲבַקֵּשׁ: אַל תַּסְתֵּר פָּנֶֽיךָ מִמֶּֽנִּי אַל תַּט בְּאַף עַבְדֶּֽךָ עֶזְרָתִי הָיִֽיתָ אַל תִּטְּ֒שֵֽׁנִי וְאַל תַּעַזְבֵֽנִי אֱלֺהֵי יִשְׁעִי: כִּי אָבִי וְאִמִּי עֲזָבֽוּנִי וַיהוָֹה יַאַסְפֵֽנִי: הוֹרֵֽנִי יְהֹוָה דַּרְכֶּֽךָ וּנְחֵֽנִי בְּאֹֽרַח מִישׁוֹר לְמַֽעַן שׁוֹרְ֒רָי: אַל תִּתְּ֒נֵֽנִי בְּנֶֽפֶשׁ צָרָי כִּי קָֽמוּ בִי עֵֽדֵי שֶֽׁקֶר וִיפֵֽחַ חָמָס: לוּלֵא הֶאֱמַֽנְתִּי לִרְאוֹת בְּטוּב יְהֹוָה בְּאֶֽרֶץ חַיִּים: קַוֵּה אֶל יְהֹוָה חֲזַק וְיַאֲמֵץ לִבֶּךָ וְקַוֵּה אֶל יְהֹוָה: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is>
      </c>
      <c r="F311" s="10" t="inlineStr"/>
      <c r="G311" s="14" t="inlineStr">
        <is>
          <t>Siddur Ashkenaz, Shabbat, Maariv, LeDavid</t>
        </is>
      </c>
      <c r="H311" s="12" t="inlineStr">
        <is>
          <t>The Metsudah siddur, 1981 — CC-BY</t>
        </is>
      </c>
      <c r="I311" s="12" t="inlineStr">
        <is>
          <t>sefaria-siddur-ashkenaz-shabbat-maariv-ledavid</t>
        </is>
      </c>
    </row>
    <row r="312" ht="409" customHeight="1">
      <c r="A312" s="7">
        <f>IF(LEN(TRIM(F312))=0,"Approved","Comment to address")</f>
        <v/>
      </c>
      <c r="B312" s="8" t="inlineStr">
        <is>
          <t>Yigdal</t>
        </is>
      </c>
      <c r="C312" s="8" t="inlineStr">
        <is>
          <t>shabbat</t>
        </is>
      </c>
      <c r="D312" s="8" t="inlineStr">
        <is>
          <t>Ashkenaz</t>
        </is>
      </c>
      <c r="E312" s="9" t="inlineStr">
        <is>
          <t>פיוט המיוסד על שלושה עשר עקרי האמונה. מיוחס לר' דניאל בן יהודה הרומי
מציאות השם
יִגְדַּל אֱלֹהִים חַי וְיִשְׁתַּבַּח, נִמְצָא וְאֵין עֵת אֶל מְצִיאוּתוֹ:
אחדות השם
אֶחָד וְאֵין יָחִיד כְּיִחוּדוֹ, נֶעְלָם וְגַם אֵין סוֹף לְאַחְדּוּתוֹ:
שאינו גוף
אֵין לוֹ דְמוּת הַגּוּף וְאֵינוֹ גוּף, לֹא נַעֲרֹךְ אֵלָיו קְדֻשָּׁתוֹ:
קדמות השם
קַדְמוֹן לְכָל דָּבָר אֲשֶׁר נִבְרָא, רִאשׁוֹן וְאֵין רֵאשִׁית לְרֵאשִׁיתוֹ:
שרק אותו ראוי לעבוד
הִנּוֹ אֲדוֹן עוֹלָם לְכָל נוֹצָר, יוֹרֶה גְדֻלָּתוֹ וּמַלְכוּתוֹ:
נבואה
שֶֽׁפַע נְבוּאָתוֹ נְתָנוֹ, אֶל אַנְשֵׁי סְגֻלָּתוֹ וְתִפְאַרְתּוֹ:
נבואת משה אמיתית
לֹא קָם בְּיִשְׂרָאֵל כְּמשֶׁה עוֹד, נָבִיא וּמַבִּיט אֶת תְּמוּנָתוֹ:
תורה מן השמים
תּוֹרַת אֱמֶת נָתַן לְעַמּוֹ אֵל, עַל יַד נְבִיאוֹ נֶאֱמַן בֵּיתוֹ:
נצחיות התורה
לֹא יַחֲלִיף הָאֵל וְלֹא יָמִיר דָּתוֹ, לְעוֹלָמִים לְזוּלָתוֹ:
השגחה
צוֹפֶה וְיוֹדֵֽעַ סְתָרֵֽינוּ, מַבִּיט לְסוֹף דָּבָר בְּקַדְמָתוֹ:
שכר ועונש
גּוֹמֵל לְאִישׁ חֶֽסֶד כְּמִפְעָלוֹ, נוֹתֵן לְרָשָׁע רָע כְּרִשְׁעָתוֹ:
ביאת המשיח
יִשְׁלַח לְקֵץ הַיָּמִין מְשִׁיחֵֽנוּ, לִפְדּוֹת מְחַכֵּי קֵץ יְשׁוּעָתוֹ:
תחיית המתים
מֵתִים יְחַיֶּה אֵל בְּרֹב חַסְדּוֹ, בָּרוּךְ עֲדֵי עַד שֵׁם תְּהִלָּתוֹ:</t>
        </is>
      </c>
      <c r="F312" s="10" t="inlineStr"/>
      <c r="G312" s="11" t="inlineStr">
        <is>
          <t>Siddur Ashkenaz, Shabbat, Maariv, Yigdal</t>
        </is>
      </c>
      <c r="H312" s="8" t="inlineStr">
        <is>
          <t>The Metsudah siddur, 1981 — CC-BY</t>
        </is>
      </c>
      <c r="I312" s="8" t="inlineStr">
        <is>
          <t>sefaria-siddur-ashkenaz-shabbat-maariv-yigdal</t>
        </is>
      </c>
    </row>
    <row r="313" ht="199" customHeight="1">
      <c r="A313" s="7">
        <f>IF(LEN(TRIM(F313))=0,"Approved","Comment to address")</f>
        <v/>
      </c>
      <c r="B313" s="12" t="inlineStr">
        <is>
          <t>Adon Olam</t>
        </is>
      </c>
      <c r="C313" s="12" t="inlineStr">
        <is>
          <t>shabbat</t>
        </is>
      </c>
      <c r="D313" s="12" t="inlineStr">
        <is>
          <t>Ashkenaz</t>
        </is>
      </c>
      <c r="E313" s="13" t="inlineStr">
        <is>
          <t>ויאמר פיוט ״אדון עולם״ המדבר ביחוד השם והשגחתו:
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t>
        </is>
      </c>
      <c r="F313" s="10" t="inlineStr"/>
      <c r="G313" s="14" t="inlineStr">
        <is>
          <t>Siddur Ashkenaz, Shabbat, Maariv, Adon Olam</t>
        </is>
      </c>
      <c r="H313" s="12" t="inlineStr">
        <is>
          <t>The Metsudah siddur, 1981 — CC-BY</t>
        </is>
      </c>
      <c r="I313" s="12" t="inlineStr">
        <is>
          <t>sefaria-siddur-ashkenaz-shabbat-maariv-adon-olam</t>
        </is>
      </c>
    </row>
    <row r="314" ht="131" customHeight="1">
      <c r="A314" s="7">
        <f>IF(LEN(TRIM(F314))=0,"Approved","Comment to address")</f>
        <v/>
      </c>
      <c r="B314" s="8" t="inlineStr">
        <is>
          <t>Blessing the Children</t>
        </is>
      </c>
      <c r="C314" s="8" t="inlineStr">
        <is>
          <t>shabbat</t>
        </is>
      </c>
      <c r="D314" s="8" t="inlineStr">
        <is>
          <t>Ashkenaz</t>
        </is>
      </c>
      <c r="E314" s="9" t="inlineStr">
        <is>
          <t>מנהג ישראל לברך את הילדים בלילי שבת כשבאים מבית הכנסת:
לבן יְשִׂימְךָ אֱלֹהִים כְּאֶפְרַיִם וְכִמְנַשֶּׁה: יְבָרֶכְךָ יְהֹוָה וְיִשְׁמְרֶךָ: יָאֵר יְהֹוָה פָּנָיו אֵלֶיךָ וִיחֻנֶּךָ: יִשָּׁא יְהֹוָה פָּנָיו אֵלֶיךָ וְיָשֵׂם לְךָ שָׁלוֹם:
לבת יְשִׂימֵךְ אֱלֹהִים כְּשָׂרָה רִבְקָה רָחֵל וְלֵאָה. יְבָרֶכְךָ יְהֹוָה וְיִשְׁמְרֶךָ: יָאֵר יְהֹוָה פָּנָיו אֵלֶיךָ וִיחֻנֶּךָ: יִשָּׁא יְהֹוָה פָּנָיו אֵלֶיךָ וְיָשֵׂם לְךָ שָׁלוֹם:</t>
        </is>
      </c>
      <c r="F314" s="10" t="inlineStr"/>
      <c r="G314" s="11" t="inlineStr">
        <is>
          <t>Siddur Ashkenaz, Shabbat, Shabbat Evening, Blessing the Children</t>
        </is>
      </c>
      <c r="H314" s="8" t="inlineStr">
        <is>
          <t>The Metsudah siddur, 1981 — CC-BY</t>
        </is>
      </c>
      <c r="I314" s="8" t="inlineStr">
        <is>
          <t>sefaria-siddur-ashkenaz-shabbat-shabbat-evening-blessing-the-children</t>
        </is>
      </c>
    </row>
    <row r="315" ht="199" customHeight="1">
      <c r="A315" s="7">
        <f>IF(LEN(TRIM(F315))=0,"Approved","Comment to address")</f>
        <v/>
      </c>
      <c r="B315" s="12" t="inlineStr">
        <is>
          <t>Shalom Aleichem</t>
        </is>
      </c>
      <c r="C315" s="12" t="inlineStr">
        <is>
          <t>shabbat</t>
        </is>
      </c>
      <c r="D315" s="12" t="inlineStr">
        <is>
          <t>Ashkenaz</t>
        </is>
      </c>
      <c r="E315" s="13" t="inlineStr">
        <is>
          <t>כשבא מבית הכנסת לביתו יאמר זה:
שָׁלוֹם עֲלֵיכֶם מַלְאֲכֵי הַשָּׁרֵת מַלְאֲכֵי עֶלְיוֹן מִמֶּֽלֶךְ מַלְכֵי הַמְּ֒לָכִים הַקָּדוֹשׁ בָּרוּךְ הוּא: ג"פ
בּוֹאֲכֶם לְשָׁלוֹם מַלְאֲכֵי הַשָּׁלוֹם מַלְאֲכֵי עֶלְיוֹן מִמֶּֽלֶךְ מַלְכֵי הַמְּ֒לָכִים הַקָּדוֹשׁ בָּרוּךְ הוּא: ג"פ
בָּרְכוּנִי לְשָׁלוֹם מַלְאֲכֵי הַשָּׁלוֹם מַלְאֲכֵי עֶלְיוֹן מִמֶּֽלֶךְ מַלְכֵי הַמְּ֒לָכִים הַקָּדוֹשׁ בָּרוּךְ הוּא: ג"פ
צֵאתְכֶם לְשָׁלוֹם מַלְאֲכֵי הַשָּׁלוֹם מַלְאֲכֵי עֶלְיוֹן מִמֶּֽלֶךְ מַלְכֵי הַמְּ֒לָכִים הַקָּדוֹשׁ בָּרוּךְ הוּא: ג"פ
כִּי מַלְאָכָיו יְצַוֶּה־לָּךְ לִשְׁמָרְךָ בְּכָל־דְּרָכֶֽיךָ: יְהֹוָה יִשְׁמָר־צֵאתְ֒ךָ וּבוֹאֶךָ. מֵעַתָּה וְעַד־עוֹלָם:</t>
        </is>
      </c>
      <c r="F315" s="10" t="inlineStr"/>
      <c r="G315" s="14" t="inlineStr">
        <is>
          <t>Siddur Ashkenaz, Shabbat, Shabbat Evening, Shalom Aleichem</t>
        </is>
      </c>
      <c r="H315" s="12" t="inlineStr">
        <is>
          <t>The Metsudah siddur, 1981 — CC-BY</t>
        </is>
      </c>
      <c r="I315" s="12" t="inlineStr">
        <is>
          <t>sefaria-siddur-ashkenaz-shabbat-shabbat-evening-shalom-aleichem</t>
        </is>
      </c>
    </row>
    <row r="316" ht="386" customHeight="1">
      <c r="A316" s="7">
        <f>IF(LEN(TRIM(F316))=0,"Approved","Comment to address")</f>
        <v/>
      </c>
      <c r="B316" s="8" t="inlineStr">
        <is>
          <t>Eshet Chayil</t>
        </is>
      </c>
      <c r="C316" s="8" t="inlineStr">
        <is>
          <t>shabbat</t>
        </is>
      </c>
      <c r="D316" s="8" t="inlineStr">
        <is>
          <t>Ashkenaz</t>
        </is>
      </c>
      <c r="E316" s="9" t="inlineStr">
        <is>
          <t>אֵֽשֶׁת־חַֽיִל מִי יִמְצָא וְרָחֹק מִפְּ֒נִינִים מִכְרָהּ:
בָּֽטַח בָּהּ לֵב בַּעְלָהּ וְשָׁלָל לֹא יֶחְסָר:
גְּמָלַֽתְהוּ טוֹב וְלֹא־רָע כֹּל יְמֵי חַיֶּֽיהָ:
דָּרְ֒שָׁה צֶֽמֶר וּפִשְׁתִּים וַתַּֽעַשׂ בְּחֵֽפֶץ כַּפֶּֽיהָ:
הָיְ֒תָה כָּאֳנִיּוֹת סוֹחֵר מִמֶּרְחָק תָּבִיא לַחְמָהּ:
וַתָּֽקָם בְּעוֹד לַֽיְלָה וַתִּתֵּן טֶֽרֶף לְבֵיתָהּ וְחֹק לְנַעֲרֹתֶֽיהָ:
זָמְ֒מָה שָׂדֶה וַתִּקָּחֵֽהוּ מִפְּ֒רִי כַפֶּֽיהָ נָֽטְ֒עָה כָּֽרֶם:
חָגְ֒רָה בְּעוֹז מָתְנֶֽיהָ וַתְּ֒אַמֵּץ זְרוֹעֹתֶֽיהָ:
טָעֲמָה כִּי־טוֹב סַחְרָהּ לֹא־יִכְבֶּה בַּלַּֽיְלָה נֵרָהּ:
יָדֶֽיהָ שִׁלְּ֒חָה בַכִּישׁוֹר וְכַפֶּֽיהָ תָּֽמְ֒כוּ פָֽלֶךְ:
כַּפָּהּ פָּרְ֒שָׂה לֶעָנִי וְיָדֶֽיהָ שִׁלְּ֒חָה לָאֶבְיוֹן:
לֹא־תִירָא לְבֵיתָהּ מִשָּֽׁלֶג כִּי כָל־בֵּיתָהּ לָבֻשׁ שָׁנִים:
מַרְבַדִּים עָֽשְׂ֒תָה־לָּהּ שֵׁשׁ וְאַרְגָּמָן לְבוּשָׁהּ:
נוֹדָע בַּשְּׁ֒עָרִים בַּעְלָהּ בְּשִׁבְתּוֹ עִם־זִקְנֵי־אָֽרֶץ:
סָדִין עָשְׂ֒תָה וַתִּמְכֹּר וַחֲגוֹר נָתְ֒נָה לַכְּנַעֲנִי:
עוֹז־וְהָדָר לְבוּשָׁהּ וַתִּשְׂחַק לְיוֹם אַחֲרוֹן:
פִּֽיהָ פָּתְ֒חָה בְחָכְמָה וְתוֹרַת־חֶֽסֶד עַל־לְשׁוֹנָהּ:
צוֹפִיָּה הֲלִיכוֹת בֵּיתָהּ וְלֶֽחֶם עַצְלוּת לֹא תֹאכֵל:
קָֽמוּ בָנֶֽיהָ וַיְאַשְּׁ֒רֽוּהָ בַּעְלָהּ וַיְהַלְ֒לָהּ:
רַבּוֹת בָּנוֹת עָֽשׂוּ חָֽיִל וְאַתְּ עָלִית עַל־כֻּלָּֽנָה:
שֶֽׁקֶר הַחֵן וְהֶֽבֶל הַיֹּֽפִי אִשָּׁה יִרְאַת־יְהֹוָה הִיא תִתְהַלָּל:
תְּנוּ־לָהּ מִפְּ֒רִי יָדֶֽיהָ וִיהַלְ֒לֽוּהָ בַשְּׁ֒עָרִים מַעֲשֶֽׂיהָ:</t>
        </is>
      </c>
      <c r="F316" s="10" t="inlineStr"/>
      <c r="G316" s="11" t="inlineStr">
        <is>
          <t>Siddur Ashkenaz, Shabbat, Shabbat Evening, Eshet Chayil</t>
        </is>
      </c>
      <c r="H316" s="8" t="inlineStr">
        <is>
          <t>The Metsudah siddur, 1981 — CC-BY</t>
        </is>
      </c>
      <c r="I316" s="8" t="inlineStr">
        <is>
          <t>sefaria-siddur-ashkenaz-shabbat-shabbat-evening-eshet-chayil</t>
        </is>
      </c>
    </row>
    <row r="317" ht="352" customHeight="1">
      <c r="A317" s="7">
        <f>IF(LEN(TRIM(F317))=0,"Approved","Comment to address")</f>
        <v/>
      </c>
      <c r="B317" s="12" t="inlineStr">
        <is>
          <t>Menucha VeSimcha</t>
        </is>
      </c>
      <c r="C317" s="12" t="inlineStr">
        <is>
          <t>shabbat</t>
        </is>
      </c>
      <c r="D317" s="12" t="inlineStr">
        <is>
          <t>Ashkenaz</t>
        </is>
      </c>
      <c r="E317" s="13" t="inlineStr">
        <is>
          <t>מְנוּחָה וְשִׂמְחָה אוֹר לַיְּהוּדִים
יוֹם שַׁבָּתוֹן יוֹם מַחֲמַדִּים
שׁוֹמְרָיו וְזוֹכְרָיו הֵֽמָּה מְעִידִים
כִּי לְשִׁשָּׁה כֹּל בְּרוּאִים וְעוֹמְדִים׃
שְׁמֵי שָׁמַֽיִם אֶֽרֶץ וְיַמִּים
כָּל צְבָא מָרוֹם גְבוֹהִים וְרָמִים
תַּנִּין וְאָדָם וְחַיַּת רְאֵמִים
כִּי בְּיָהּ יְהֹוָה צוּר עוֹלָמִים׃
הוּא אֲשֶׁר דִּבֶּר לְעַם סְגֻלָּתוֹ
שָׁמוֹר לְקַדְּשׁוֹ מִבֹּאוֹ וְעַד צֵאתוֹ
שַׁבָּת קֹֽדֶשׁ יוֹם חֶמְדָּתוֹ
כִּי בוֹ שָׁבַת אֵל מִכָּל מְלַאכְתּוֹ׃
בְּמִצְוַת שַׁבָּת אֵל יַחֲלִיצָךְ
קוּם קְרָא אֵלָיו יָחִישׁ לְאַמְּצָךְ
נִשְׁמַת כָּל חַי וְגַם נַעֲרִיצָךְ
אֱכֹל בְּשִׂמְחָה כִּי כְבָר רָצָךְ׃
בְּמִשְׁנֶה לֶֽחֶם וְקִדּוּשׁ רַבָּה
בְּרוֹב מַטְעַמִּים וְרֽוּחַ נְדִיבָה
יִזְכּוּ לְרַב טוּב הַמִּתְעַנְּגִים בָּהּ
בְּבִיאַת גּוֹאֵל לְחַיֵּי הָעוֹלָם הַבָּא׃</t>
        </is>
      </c>
      <c r="F317" s="10" t="inlineStr"/>
      <c r="G317" s="14" t="inlineStr">
        <is>
          <t>Siddur Ashkenaz, Shabbat, Shabbat Evening, Zemirot for Shabbat Evening, Menucha VeSimcha</t>
        </is>
      </c>
      <c r="H317" s="12" t="inlineStr">
        <is>
          <t>The Metsudah siddur, 1981 — CC-BY</t>
        </is>
      </c>
      <c r="I317" s="12" t="inlineStr">
        <is>
          <t>sefaria-siddur-ashkenaz-shabbat-shabbat-evening-zemirot-for-shabbat-evening-menucha-vesimcha</t>
        </is>
      </c>
    </row>
    <row r="318" ht="409" customHeight="1">
      <c r="A318" s="7">
        <f>IF(LEN(TRIM(F318))=0,"Approved","Comment to address")</f>
        <v/>
      </c>
      <c r="B318" s="8" t="inlineStr">
        <is>
          <t>Yah Ribon</t>
        </is>
      </c>
      <c r="C318" s="8" t="inlineStr">
        <is>
          <t>shabbat</t>
        </is>
      </c>
      <c r="D318" s="8" t="inlineStr">
        <is>
          <t>Ashkenaz</t>
        </is>
      </c>
      <c r="E318" s="9" t="inlineStr">
        <is>
          <t>יָהּ רִבּוֹן עָלַם וְעָלְמַיָּא.
אַנְתְּ הוּא מַלְכָּא מֶֽלֶךְ מַלְכַיָּא.
עוֹבַד גְבוּרְתֵּךְ וְתִמְהַיָּא.
שְׁפַר קֳדָמָךְ לְהַחֲוָיָא:
יָהּ רִבּוֹן עָלַם וְעָלְמַיָּא. אַנְתְּ הוּא מַלְכָּא מֶֽלֶךְ מַלְכַיָּא:
שְׁבָחִין אֲסַדֵּר צַפְרָא וְרַמְשָׁא.
לָךְ אֱלָהָא קַדִּישָׁא. דִּי בְרָא כָּל נַפְשָׁא.
עִירִין קַדִּישִׁין וּבְנֵי אֱנָשָׁא.
חֵיוַת בְּרָא וְעוֹפֵי שְׁמַיָּא.
יָהּ רִבּוֹן עָלַם וְעָלְמַיָּא. אַנְתְּ הוּא מַלְכָּא מֶֽלֶךְ מַלְכַיָּא:
רַבְרְ֒בִין עוֹבְ֒דֵךְ וְתַקִּיפִין.
מָכִיךְ רָמַיָּא וְזַקִּיף כְּפִיפִין.
לוּ יִחְיֶה גְבַר שְׁנִין אַלְפִין.
לָא יֵעוֹל גְּבוּרְתֵּךְ בְּחוּשְׁבָּנַיָּא.
יָהּ רִבּוֹן עָלַם וְעָלְמַיָּא. אַנְתְּ הוּא מַלְכָּא מֶֽלֶךְ מַלְכַיָּא:
אֱלָהָא דִּי לֵהּ יְקָר וּרְבוּתָא.
פְּרוֹק יַת עָנָךְ מִפּוּם אַרְיְוָתָא.
וְאַפֵּק יַת עַמָּךְ מִגּוֹ גָלוּתָא.
עַמֵּךְ דִּי בְחַרְתְּ מִכָּל אֻמַּיָּא.
יָהּ רִבּוֹן עָלַם וְעָלְמַיָּא. אַנְתְּ הוּא מַלְכָּא מֶֽלֶךְ מַלְכַיָּא:
לְמִקְדָּשֵׁךְ תּוּב וּלְקֹֽדֶשׁ קֻדְשִׁין.
אֲתַר דִּי בֵיהּ יֶחֱדוּן רוּחִין וְנַפְשִׁין.
וִיזַמְּ֒רוּן לָךְ שִׁירִין וְרַחֲשִׁין.
בִּירוּשְׁ֒לֵם קַרְתָּא דְשׁוּפְרַיָּא.
יָהּ רִבּוֹן עָלַם וְעָלְמַיָּא. אַנְתְּ הוּא מַלְכָּא מֶֽלֶךְ מַלְכַיָּא:</t>
        </is>
      </c>
      <c r="F318" s="10" t="inlineStr"/>
      <c r="G318" s="11" t="inlineStr">
        <is>
          <t>Siddur Ashkenaz, Shabbat, Shabbat Evening, Zemirot for Shabbat Evening, Yah Ribon</t>
        </is>
      </c>
      <c r="H318" s="8" t="inlineStr">
        <is>
          <t>The Metsudah siddur, 1981 — CC-BY</t>
        </is>
      </c>
      <c r="I318" s="8" t="inlineStr">
        <is>
          <t>sefaria-siddur-ashkenaz-shabbat-shabbat-evening-zemirot-for-shabbat-evening-yah-ribon</t>
        </is>
      </c>
    </row>
    <row r="319" ht="409" customHeight="1">
      <c r="A319" s="7">
        <f>IF(LEN(TRIM(F319))=0,"Approved","Comment to address")</f>
        <v/>
      </c>
      <c r="B319" s="12" t="inlineStr">
        <is>
          <t>Tzur Mishelo</t>
        </is>
      </c>
      <c r="C319" s="12" t="inlineStr">
        <is>
          <t>shabbat</t>
        </is>
      </c>
      <c r="D319" s="12" t="inlineStr">
        <is>
          <t>Ashkenaz</t>
        </is>
      </c>
      <c r="E319" s="13" t="inlineStr">
        <is>
          <t>צוּר מִשֶּׁלּוֹ אָכַֽלְנוּ בָּרְכוּ אֱמוּנַי
שָׂבַֽעְנוּ וְהוֹתַֽרְנוּ כִּדְבַר יְהֹוָה׃
הַזָּן אֶת עוֹלָמוֹ רוֹעֵֽנוּ אָבִֽינוּ
אָכַֽלְנוּ אֶת לַחְמוֹ וְיֵינוֹ שָׁתִֽינוּ
עַל כֵּן נוֹדֶה לִשְׁמוֹ וּנְהַלְּלוֹ בְּפִֽינוּ
אָמַֽרְנוּ וְעָנִֽינוּ אֵין קָדוֹשׁ כַּיהֹוָה׃
צוּר מִשֶּׁלּוֹ אָכַֽלְנוּ בָּרְכוּ אֱמוּנַי שָׂבַֽעְנוּ וְהוֹתַֽרְנוּ כִּדְבַר יְהֹוָה׃
בְּשִׁיר וְקוֹל תּוֹדָה נְבָרֵךְ לֵאלֹהֵֽינוּ
עַל אֶֽרֶץ חֶמְדָּה טוֹבָה שֶׁהִנְחִיל לַאֲבוֹתֵֽינוּ
מָזוֹן וְצֵדָה הִשְׂבִּֽיעַ לְנַפְשֵֽׁנוּ
חַסְדּוֹ גָּבַר עָלֵֽינוּ וֶאֱמֶת יְהֹוָה׃
צוּר מִשֶּׁלּוֹ אָכַֽלְנוּ בָּרְכוּ אֱמוּנַי שָׂבַֽעְנוּ וְהוֹתַֽרְנוּ כִּדְבַר יְהֹוָה׃
רַחֵם בְּחַסְדֶּֽךָ עַל עַמְּךָ צוּרֵֽנוּ
עַל צִיּוֹן מִשְׁכַּן כְּבוֹדֶֽךָ זְבוּל בֵּית תִּפְאַרְתֵּֽנוּ
בֶּן־דָּוִד עַבְדֶּֽךָ יָבֹא וְיִגְאָלֵֽנוּ
רֽוּחַ אַפֵּֽינוּ מְשִֽׁיחַ יְהֹוָה׃
צוּר מִשֶּׁלּוֹ אָכַֽלְנוּ בָּרְכוּ אֱמוּנַי שָׂבַֽעְנוּ וְהוֹתַֽרְנוּ כִּדְבַר יְהֹוָה׃
יִבָּנֶה הַמִּקְדָּשׁ עִיר צִיּוֹן תְּמַלֵּא
וְשָׁם נָשִׁיר שִׁיר חָדָשׁ וּבִרְנָנָה נַעֲלֶה
הָרַחֲמָן הַנִּקְדָּשׁ יִתְבָּרַךְ וְיִתְעַלֶּה
עַל כּוֹס יַֽיִן מָלֵא כְּבִרְכַּת יְהֹוָה׃
צוּר מִשֶּׁלּוֹ אָכַֽלְנוּ בָּרְכוּ אֱמוּנַי שָׂבַֽעְנוּ וְהוֹתַֽרְנוּ כִּדְבַר יְהֹוָה׃</t>
        </is>
      </c>
      <c r="F319" s="10" t="inlineStr"/>
      <c r="G319" s="14" t="inlineStr">
        <is>
          <t>Siddur Ashkenaz, Shabbat, Shabbat Evening, Zemirot for Shabbat Evening, Tzur Mishelo</t>
        </is>
      </c>
      <c r="H319" s="12" t="inlineStr">
        <is>
          <t>The Metsudah siddur, 1981 — CC-BY</t>
        </is>
      </c>
      <c r="I319" s="12" t="inlineStr">
        <is>
          <t>sefaria-siddur-ashkenaz-shabbat-shabbat-evening-zemirot-for-shabbat-evening-tzur-mishelo</t>
        </is>
      </c>
    </row>
    <row r="320" ht="114" customHeight="1">
      <c r="A320" s="7">
        <f>IF(LEN(TRIM(F320))=0,"Approved","Comment to address")</f>
        <v/>
      </c>
      <c r="B320" s="8" t="inlineStr">
        <is>
          <t>Yishtabach</t>
        </is>
      </c>
      <c r="C320" s="8" t="inlineStr">
        <is>
          <t>shabbat</t>
        </is>
      </c>
      <c r="D320" s="8" t="inlineStr">
        <is>
          <t>Ashkenaz</t>
        </is>
      </c>
      <c r="E320" s="9" t="inlineStr">
        <is>
          <t>יִשְׁתַּבַּח שִׁמְךָ לָעַד מַלְכֵּנוּ. הָאֵל הַמֶּלֶךְ הַגָּדול וְהַקָּדושׁ בַּשָּׁמַיִם וּבָאָרֶץ. כִּי לְךָ נָאֶה ה' אֱלהֵינוּ וֵאלהֵי אֲבותֵינוּ שִׁיר וּשְׁבָחָה. הַלֵּל וְזִמְרָה. עוז וּמֶמְשָׁלָה. נֶצַח גְּדֻלָּה וּגְבוּרָה. תְּהִלָּה וְתִפְאֶרֶת. קְדֻשָּׁה וּמַלְכוּת: בְּרָכות וְהודָאות מֵעַתָּה וְעַד עולָם: בָּרוּךְ אַתָּה ה'. אֵל מֶלֶךְ גָּדול בַּתִּשְׁבָּחות אֵל הַהודָאות. אֲדון הַנִּפְלָאות. הַבּוחֵר בְּשִׁירֵי זִמְרָה. מֶלֶךְ אֵל חֵי הָעולָמִים:</t>
        </is>
      </c>
      <c r="F320" s="10" t="inlineStr"/>
      <c r="G320" s="11" t="inlineStr">
        <is>
          <t>Siddur Ashkenaz, Shabbat, Shacharit, Pesukei Dezimra, Yishtabach</t>
        </is>
      </c>
      <c r="H320" s="8" t="inlineStr">
        <is>
          <t>Daat Siddur Ashkenaz — Public Domain</t>
        </is>
      </c>
      <c r="I320" s="8" t="inlineStr">
        <is>
          <t>sefaria-siddur-ashkenaz-shabbat-shacharit-pesukei-dezimra-yishtabach</t>
        </is>
      </c>
    </row>
    <row r="321" ht="216" customHeight="1">
      <c r="A321" s="7">
        <f>IF(LEN(TRIM(F321))=0,"Approved","Comment to address")</f>
        <v/>
      </c>
      <c r="B321" s="12" t="inlineStr">
        <is>
          <t>Second Blessing before Shema</t>
        </is>
      </c>
      <c r="C321" s="12" t="inlineStr">
        <is>
          <t>shabbat</t>
        </is>
      </c>
      <c r="D321" s="12" t="inlineStr">
        <is>
          <t>Ashkenaz</t>
        </is>
      </c>
      <c r="E321" s="13" t="inlineStr">
        <is>
          <t>אַהֲבָה רַבָּה אֲהַבְתָּנוּ ה' אֱלהֵינוּ. חֶמְלָה גְּדולָה וִיתֵרָה חָמַלְתָּ עָלֵינוּ: אָבִינוּ מַלְכֵּנוּ. בַּעֲבוּר אֲבותֵינוּ שֶׁבָּטְחוּ בְךָ. וַתְּלַמְּדֵם חֻקֵּי חַיִּים כֵּן תְּחָנֵּנוּ וּתְלַמְּדֵנוּ: אָבִינוּ הָאָב הָרַחֲמָן. הַמְרַחֵם. רַחֵם עָלֵינוּ. וְתֵן בְּלִבֵּנוּ לְהָבִין וּלְהַשכִּיל. לִשְׁמעַ. לִלְמד וּלְלַמֵּד. לִשְׁמר וְלַעֲשות וּלְקַיֵּם אֶת כָּל דִּבְרֵי תַלְמוּד תּורָתֶךָ בְּאַהֲבָה: וְהָאֵר עֵינֵינוּ בְּתורָתֶךָ. וְדַבֵּק לִבֵּנוּ בְּמִצְותֶיךָ. וְיַחֵד לְבָבֵנוּ לְאַהֲבָה וּלְיִרְאָה אֶת שְׁמֶךָ. וְלא נֵבושׁ לְעולָם וָעֶד: כִּי בְשֵׁם קָדְשְׁךָ הַגָּדול וְהַנּורָא בָּטָחְנוּ. נָגִילָה וְנִשמְחָה בִּישׁוּעָתֶךָ: וַהֲבִיאֵנוּ לְשָׁלום מֵאַרְבַּע כַּנְפות הָאָרֶץ. וְתולִיכֵנוּ קומְמִיּוּת לְאַרְצֵנוּ: כִּי אֵל פּועֵל יְשׁוּעות אָתָּה. וּבָנוּ בָחַרְתָּ מִכָּל עַם וְלָשׁון.וְקֵרַבְתָּנוּ לְשִׁמְךָ הַגָּדול סֶלָה בֶּאֱמֶת: לְהודות לְךָ וּלְיַחֶדְךָ בְּאַהֲבָה: בָּרוּךְ אַתָּה ה'. הַבּוחֵר בְּעַמּו יִשרָאֵל בְּאַהֲבָה:</t>
        </is>
      </c>
      <c r="F321" s="10" t="inlineStr"/>
      <c r="G321" s="14" t="inlineStr">
        <is>
          <t>Siddur Ashkenaz, Shabbat, Shacharit, Blessings of the Shema, Second Blessing before Shema</t>
        </is>
      </c>
      <c r="H321" s="12" t="inlineStr">
        <is>
          <t>Daat Siddur Ashkenaz — Public Domain</t>
        </is>
      </c>
      <c r="I321" s="12" t="inlineStr">
        <is>
          <t>sefaria-siddur-ashkenaz-shabbat-shacharit-blessings-of-the-shema-second-blessing-before-shema</t>
        </is>
      </c>
    </row>
    <row r="322" ht="267" customHeight="1">
      <c r="A322" s="7">
        <f>IF(LEN(TRIM(F322))=0,"Approved","Comment to address")</f>
        <v/>
      </c>
      <c r="B322" s="8" t="inlineStr">
        <is>
          <t>Prayer for Israeli Soldiers</t>
        </is>
      </c>
      <c r="C322" s="8" t="inlineStr">
        <is>
          <t>shabbat</t>
        </is>
      </c>
      <c r="D322" s="8" t="inlineStr">
        <is>
          <t>Ashkenaz</t>
        </is>
      </c>
      <c r="E322" s="9" t="inlineStr">
        <is>
          <t>מִי שֶׁבֵּרַךְ אֲבוֹתֵינוּ אַבְרָהָם יִצְחָק וְיַעֲקֹב
הוּא יְבָרֵךְ אֶת חַיָּלֵי צְבָא הֲגַנָּה לְיִשְׂרָאֵל
הָעוֹמְדִים עַל מִשְׁמַר אַרְצֵנוּ וְעָרֵי אֱלֹהֵינוּ
מִגְּבוּל הַלְּבָנוֹן וְעַד מִדְבַּר מִצְרַיִם
וּמִן הַיָּם הַגָּדוֹל עַד לְבוֹא הָעֲרָבָה בַּיַּבָּשָׁה בָּאֲוִיר וּבַיָּם
יִתֵּן ה' אֶת אוֹיְבֵינוּ הַקָּמִים עָלֵינוּ נִגָּפִים לִפְנֵיהֶם
הַקָּדוֹשׁ בָּרוּךְ הוּא יִשְׁמֹר וְיַצִּיל אֶת חַיָלֵינוּ מִכָּל צָרָה וְצוּקָה וּמִכָּל נֶגַע וּמַחֲלָה
וְיִשְׁלַח בְּרָכָה וְהַצְלָחָה בְּכָל מַעֲשֵׂה יְדֵיהֶם
יַדְבֵּר שׂוֹנְאֵינוּ תַּחְתֵּיהֶם וִיעַטְרֵם בְּכֶתֶר יְשׁוּעָה וּבְעֲטֶרֶת נִצָּחוֹן
וִיקֻיַּם בָּהֶם הַכָּתוּב:
כִּי ה' אֱלֹהֵיכֶם הַהֹלֵךְ עִמָּכֶם לְהִלָּחֵם לָכֶם עִם אֹיְבֵיכֶם לְהוֹשִׁיעַ אֶתְכֶם
וְנֹאמַר אָמֵן</t>
        </is>
      </c>
      <c r="F322" s="10" t="inlineStr"/>
      <c r="G322" s="11" t="inlineStr">
        <is>
          <t>Siddur Ashkenaz, Shabbat, Shacharit, Communal Prayers, Prayer for Israeli Soldiers</t>
        </is>
      </c>
      <c r="H322" s="8" t="inlineStr">
        <is>
          <t>Daat Siddur Ashkenaz — Public Domain</t>
        </is>
      </c>
      <c r="I322" s="8" t="inlineStr">
        <is>
          <t>sefaria-siddur-ashkenaz-shabbat-shacharit-communal-prayers-prayer-for-israeli-soldiers</t>
        </is>
      </c>
    </row>
    <row r="323" ht="182" customHeight="1">
      <c r="A323" s="7">
        <f>IF(LEN(TRIM(F323))=0,"Approved","Comment to address")</f>
        <v/>
      </c>
      <c r="B323" s="12" t="inlineStr">
        <is>
          <t>Prayer for Those Being Held in Captivity</t>
        </is>
      </c>
      <c r="C323" s="12" t="inlineStr">
        <is>
          <t>protection</t>
        </is>
      </c>
      <c r="D323" s="12" t="inlineStr">
        <is>
          <t>Ashkenaz</t>
        </is>
      </c>
      <c r="E323" s="13" t="inlineStr">
        <is>
          <t>מִי שֶׁבֵּרַךְ אֲבוֹתֵינוּ אַבְרָהָם יִצְחָק וְיַעֲקֹב יוֹסֵף מֹשֶׁה וְאַהֲרֹן דָּוִד וּשְׁלֹמֹה, הוּא יְבָרֵךְ וְיִשְׁמֹר וְיִנְצֹר אֶת כָּל הַחֲטוּפִים, הַשְּׁבוּיִים וְהַנֶּעֱדָרִים בְּתוֹךְ שְׁאָר אֲחֵינוּ בֵּית יִשְֹרָאֵל הַנְּתוּנִים בְּצָרָה וּבְשִׁבְיָה. בַּעֲבוּר שֶׁהַקָּהָל מִתְפַּלֵּל בַּעֲבוּרָם, הַקָּדוֹשׁ בָּרוּךְ הוּא יִמָּלֵא רַחֲמִים עֲלֵיהֶם, וְיוֹצִיאֵם מֵחֹשֶׁךְ וְצַלְמָוֶת, וּמוֹסְרוֹתֵיהֶם יְנַתֵּק, וּמִמְּצוּקוֹתֵיהֶם יוֹשִׁיעֵם, וִישִׁיבֵם מְהֵרָה לְחֵיק מִשְׁפְּחוֹתֵיהֶם. יוֹדוּ לַה' חַסְדּוֹ וְנִפְלְאוֹתָיו לִבְנֵי אָדָם. וִיקֻיַּם בָּהֶם מִקְרָא שֶׁכָּתוּב: וּפְדוּיֵי ה' יְשׁוּבוּן וּבָאוּ צִיּוֹן בְּרִנָּה וְשִׂמְחַת עוֹלָם עַל רֹאשָׁם. שָׂשׂוֹן וְשִׂמְחָה יַשִּׂיגוּ וְנָסוּ יָגוֹן וַאֲנָחָה. וְנֹאמַר אָמֵן.</t>
        </is>
      </c>
      <c r="F323" s="10" t="inlineStr"/>
      <c r="G323" s="14" t="inlineStr">
        <is>
          <t>Siddur Ashkenaz, Shabbat, Shacharit, Communal Prayers, Prayer for Those Being Held in Captivity</t>
        </is>
      </c>
      <c r="H323" s="12" t="inlineStr">
        <is>
          <t>Daat Siddur Ashkenaz — Public Domain</t>
        </is>
      </c>
      <c r="I323" s="12" t="inlineStr">
        <is>
          <t>sefaria-siddur-ashkenaz-shabbat-shacharit-communal-prayers-prayer-for-those-being-held-in-captivity</t>
        </is>
      </c>
    </row>
    <row r="324" ht="97" customHeight="1">
      <c r="A324" s="7">
        <f>IF(LEN(TRIM(F324))=0,"Approved","Comment to address")</f>
        <v/>
      </c>
      <c r="B324" s="8" t="inlineStr">
        <is>
          <t>Entering the Sukkah</t>
        </is>
      </c>
      <c r="C324" s="8" t="inlineStr">
        <is>
          <t>source</t>
        </is>
      </c>
      <c r="D324" s="8" t="inlineStr">
        <is>
          <t>Ashkenaz</t>
        </is>
      </c>
      <c r="E324" s="9" t="inlineStr">
        <is>
          <t>הֲרֵינִי מוּכָן וּמְזוּמָן לְקַיֵּים מִצְוַת סֻכָּה כַּאֲשֶׁר צִוַּנִי הַבּורֵא יִתְבָּרַךְ שְׁמו בַּסֻּכּות תֵּשְׁבוּ שִׁבְעַת יָמִים כָּל הָאֶזְרָח בְּיִשרָאֵל יֵשְׁבוּ בַּסֻּכּות:
לְמַעַן יֵדְעוּ דרתֵיכֶם כִּי בַסֻּכּות הושַׁבְתִּי אֶת בְּנֵי יִשרָאֵל בְּהוצִיאִי אותָם מֵאֶרֶץ מִצְרָיִם:</t>
        </is>
      </c>
      <c r="F324" s="10" t="inlineStr"/>
      <c r="G324" s="11" t="inlineStr">
        <is>
          <t>Siddur Ashkenaz, Festivals, Sukkot, Prayers in the Sukkah, Entering the Sukkah</t>
        </is>
      </c>
      <c r="H324" s="8" t="inlineStr">
        <is>
          <t>Daat Siddur Ashkenaz — Public Domain</t>
        </is>
      </c>
      <c r="I324" s="8" t="inlineStr">
        <is>
          <t>sefaria-siddur-ashkenaz-festivals-sukkot-prayers-in-the-sukkah-entering-the-sukkah</t>
        </is>
      </c>
    </row>
    <row r="325" ht="63" customHeight="1">
      <c r="A325" s="7">
        <f>IF(LEN(TRIM(F325))=0,"Approved","Comment to address")</f>
        <v/>
      </c>
      <c r="B325" s="12" t="inlineStr">
        <is>
          <t>Leaving the Sukkah</t>
        </is>
      </c>
      <c r="C325" s="12" t="inlineStr">
        <is>
          <t>source</t>
        </is>
      </c>
      <c r="D325" s="12" t="inlineStr">
        <is>
          <t>Ashkenaz</t>
        </is>
      </c>
      <c r="E325" s="13" t="inlineStr">
        <is>
          <t>יְהִי רָצון מִלְּפָנֶיךָ ה' אֱלהֵינוּ וֵאלהֵי אֲבותֵינוּ כְּשֵׁם שֶׁקִיַּמְתִּי וְיָשַׁבְתִּי בְּסוּכָּה זוּ כֵּן אֶזְכֶּה לְשָׁנָה הַבָּאָה לֵישֵׁב בְּסוּכָּה שֶׁל לִוְיָתָן:</t>
        </is>
      </c>
      <c r="F325" s="10" t="inlineStr"/>
      <c r="G325" s="14" t="inlineStr">
        <is>
          <t>Siddur Ashkenaz, Festivals, Sukkot, Prayers in the Sukkah, Leaving the Sukkah</t>
        </is>
      </c>
      <c r="H325" s="12" t="inlineStr">
        <is>
          <t>Daat Siddur Ashkenaz — Public Domain</t>
        </is>
      </c>
      <c r="I325" s="12" t="inlineStr">
        <is>
          <t>sefaria-siddur-ashkenaz-festivals-sukkot-prayers-in-the-sukkah-leaving-the-sukkah</t>
        </is>
      </c>
    </row>
    <row r="326" ht="114" customHeight="1">
      <c r="A326" s="7">
        <f>IF(LEN(TRIM(F326))=0,"Approved","Comment to address")</f>
        <v/>
      </c>
      <c r="B326" s="8" t="inlineStr">
        <is>
          <t>Hanerot Hallalu</t>
        </is>
      </c>
      <c r="C326" s="8" t="inlineStr">
        <is>
          <t>source</t>
        </is>
      </c>
      <c r="D326" s="8" t="inlineStr">
        <is>
          <t>Ashkenaz</t>
        </is>
      </c>
      <c r="E326" s="9" t="inlineStr">
        <is>
          <t>הַנֵּרוֹת הַלָּלוּ שֶׁאָנוּ מַדְלִיקִין, עַל הַנִּסִּים וְעַל הַנִּפְלָאוֹת וְעַל הַתְּשׁוּעוֹת וְעַל הַמִּלְחָמוֹת, שֶׁעָשִׂיתָ לַאֲבוֹתֵינוּ בַּיָּמִים הָהֵם בַּזְּמַן הַזֶּה, עַל יְדֵי כֹּהֲנֶיךָ הַקְּדוֹשִׁים. וְכָל שְׁמוֹנַת יְמֵי הַחֲנֻכָּה הַנֵּרוֹת הַלָּלוּ קֹדֶשׁ הֵם וְאֵין לָנוּ רְשׁוּת לְהִשְׁתַּמֵּשׁ בָּהֶם, אֶלָּא לִרְאוֹתָם בִּלְבָד, כְּדֵי לְהוֹדוֹת וּלְהַלֵּל לְשִׁמְךָ הַגָּדוֹל עַל נִסֶּיךָ וְעַל נִפְלְאוֹתֶיךָ וְעַל יְשׁוּעָתֶךָ.</t>
        </is>
      </c>
      <c r="F326" s="10" t="inlineStr"/>
      <c r="G326" s="11" t="inlineStr">
        <is>
          <t>Siddur Ashkenaz, Festivals, Chanukah, Service for Lighting Chanukah Candles, Hanerot Hallalu</t>
        </is>
      </c>
      <c r="H326" s="8" t="inlineStr">
        <is>
          <t>Daat Siddur Ashkenaz — Public Domain</t>
        </is>
      </c>
      <c r="I326" s="8" t="inlineStr">
        <is>
          <t>sefaria-siddur-ashkenaz-festivals-chanukah-service-for-lighting-chanukah-candles-hanerot-hallalu</t>
        </is>
      </c>
    </row>
    <row r="327" ht="216" customHeight="1">
      <c r="A327" s="7">
        <f>IF(LEN(TRIM(F327))=0,"Approved","Comment to address")</f>
        <v/>
      </c>
      <c r="B327" s="12" t="inlineStr">
        <is>
          <t>Modeh Ani</t>
        </is>
      </c>
      <c r="C327" s="12" t="inlineStr">
        <is>
          <t>daily</t>
        </is>
      </c>
      <c r="D327" s="12" t="inlineStr">
        <is>
          <t>Nusach Sefard</t>
        </is>
      </c>
      <c r="E327" s="13" t="inlineStr">
        <is>
          <t>מיד כשיעור משנתו, בעודו על משכבו, יאמר:
מוֹדֶה אֲנִי לְפָנֶֽיךָ מֶֽלֶךְ חַי וְקַיָּם שֶׁהֶחֱזַֽרְתָּ בִּי נִשְׁמָתִי בְּחֶמְלָה, רַבָּה אֱמוּנָתֶֽךָ:
לאחר שנטל ידיו יאמר:
רֵאשִׁית חָכְמָה יִרְאַת יְהֹוָה, שֵֽׂכֶל טוֹב לְכָל עֹשֵׂיהֶם, תְּהִלָּתוֹ עוֹמֶֽדֶת לָעַד: בָּרוּךְ שֵׁם כְּבוֹד מַלְכוּתוֹ לְעוֹלָם וָעֶד:
לפני עטיפת הטלית קטן, יברך:
בָּרוּךְ אַתָּה יְהֹוָה אֱלֹהֵֽינוּ מֶֽלֶךְ הָעוֹלָם אֲשֶׁר קִדְּ֒שָֽׁנוּ בְּמִצְוֹתָיו וְצִוָּנוּ עַל מִצְוַת צִיצִית:
יְהִי רָצוֹן מִלְּ֒פָנֶיךָ יְהֹוָה אֱלֹהַי וֵאלֹהֵי אֲבוֹתַי שֶׁתְּ֒הֵא חֲשׁוּבָה מִצְוַת צִיצִית לְפָנֶֽיךָ כְּאִלּוּ קִיַּמְתִּֽיהָ בְּכָל פְּרָטֶֽיהָ וְדִקְדּוּקֶֽיהָ וְכַוָּנוֹתֶֽיהָ וְתַרְיַ"ג מִצְווֹת הַתְּ֒לוּיוֹת בָּהּ, אָמֵן סֶלָה:</t>
        </is>
      </c>
      <c r="F327" s="10" t="inlineStr"/>
      <c r="G327" s="14" t="inlineStr">
        <is>
          <t>Siddur Sefard, Upon Arising, Modeh Ani</t>
        </is>
      </c>
      <c r="H327" s="12" t="inlineStr">
        <is>
          <t>The Metsudah siddur, 1981 — CC-BY</t>
        </is>
      </c>
      <c r="I327" s="12" t="inlineStr">
        <is>
          <t>sefaria-siddur-sefard-upon-arising-modeh-ani</t>
        </is>
      </c>
    </row>
    <row r="328" ht="409" customHeight="1">
      <c r="A328" s="7">
        <f>IF(LEN(TRIM(F328))=0,"Approved","Comment to address")</f>
        <v/>
      </c>
      <c r="B328" s="8" t="inlineStr">
        <is>
          <t>Upon Entering Synagogue</t>
        </is>
      </c>
      <c r="C328" s="8" t="inlineStr">
        <is>
          <t>daily</t>
        </is>
      </c>
      <c r="D328" s="8" t="inlineStr">
        <is>
          <t>Nusach Sefard</t>
        </is>
      </c>
      <c r="E328" s="9" t="inlineStr">
        <is>
          <t>נכון לומר בבוקר קודם התפילה:
הֲרֵינִי מְקַבֵּל עָלַי מִצְוַת עֲשֵׂה שֶׁל וְאָהַבְתָּ לְרֵעֲךָ כָּמֽוֹךָ:
כשיכנס לבית הכנסת, יאמר:
מַה טֹּֽבוּ אֹהָלֶֽיךָ יַעֲקֹב מִשְׁכְּ֒נֹתֶֽיךָ יִשְׂרָאֵל: וַאֲנִי בְּרֹב חַסְדְּ֒ךָ אָבוֹא בֵיתֶֽךָ אֶשְׁתַּחֲוֶה אֶל הֵיכַל־קָדְשְׁ֒ךָ בְּיִרְאָתֶֽךָ: יְהֹוָה אָהַֽבְתִּי מְעוֹן בֵּיתֶֽךָ וּמְקוֹם מִשְׁכַּן כְּבוֹדֶֽךָ: וַאֲנִי אֶשְׁתַּחֲוֶה וְאֶכְרָֽעָה אֶבְרְ֒כָה לִפְנֵי יְהֹוָה עֹשִׂי: וַאֲנִי תְפִלָּתִי־לְךָ יְהֹוָה עֵת רָצוֹן אֱלֹהִים בְּרָב־חַסְדֶּֽךָ עֲנֵֽנִי בֶּאֱמֶת יִשְׁעֶֽךָ:
ויאמר פיוט ״אדון עולם״ המדבר ביחוד השם והשגחתו:
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
פיוט המיוסד על שלושה עשר עקרי האמונה. מיוחס לר' דניאל בן יהודה הרומי
מציאות השם
יִגְדַּל אֱלֹהִים חַי וְיִשְׁתַּבַּח, נִמְצָא וְאֵין עֵת אֶל מְצִיאוּתוֹ:
אחדות השם
אֶחָד וְאֵין יָחִיד כְּיִחוּדוֹ, נֶעְלָם וְגַם אֵין סוֹף לְאַחְדּוּתוֹ:
שאינו גוף
אֵין לוֹ דְמוּת הַגּוּף וְאֵינוֹ גוּף, לֹא נַעֲרֹךְ אֵלָיו קְדֻשָּׁתוֹ:
קדמות השם
קַדְמוֹן לְכָל דָּבָר אֲשֶׁר נִבְרָא, רִאשׁוֹן וְאֵין רֵאשִׁית לְרֵאשִׁיתוֹ:
שרק אותו ראוי לעבוד
הִנּוֹ אֲדוֹן עוֹלָם לְכָל נוֹצָר, יוֹרֶה גְדֻלָּתוֹ וּמַלְכוּתוֹ:
נבואה
שֶֽׁפַע נְבוּאָתוֹ נְתָנוֹ, אֶל אַנְשֵׁי סְגֻלָּתוֹ וְתִפְאַרְתּוֹ:
נבואת משה אמיתית
לֹא קָם בְּיִשְׂרָאֵל כְּמשֶׁה עוֹד, נָבִיא וּמַבִּיט אֶת תְּמוּנָתוֹ:
תורה מן השמים
תּוֹרַת אֱמֶת נָתַן לְעַמּוֹ אֵל, עַל יַד נְבִיאוֹ נֶאֱמַן בֵּיתוֹ:
נצחיות התורה
לֹא יַחֲלִיף הָאֵל וְלֹא יָמִיר דָּתוֹ, לְעוֹלָמִים לְזוּלָתוֹ:
השגחה
צוֹפֶה וְיוֹדֵֽעַ סְתָרֵֽינוּ, מַבִּיט לְסוֹף דָּבָר בְּקַדְמָתוֹ:
שכר ועונש
גּוֹמֵל לְאִישׁ חֶֽסֶד כְּמִפְעָלוֹ, נוֹתֵן לְרָשָׁע רָע כְּרִשְׁעָתוֹ:
ביאת המשיח
יִשְׁלַח לְקֵץ הַיָּמִין מְשִׁיחֵֽנוּ, לִפְדּוֹת מְחַכֵּי קֵץ יְשׁוּעָתוֹ:
תחיית המתים
מֵתִים יְחַיֶּה אֵל בְּרֹב חַסְדּוֹ, בָּרוּךְ עֲדֵי עַד שֵׁם תְּהִלָּתוֹ:</t>
        </is>
      </c>
      <c r="F328" s="10" t="inlineStr"/>
      <c r="G328" s="11" t="inlineStr">
        <is>
          <t>Siddur Sefard, Upon Arising, Upon Entering Synagogue</t>
        </is>
      </c>
      <c r="H328" s="8" t="inlineStr">
        <is>
          <t>The Metsudah siddur, 1981 — CC-BY</t>
        </is>
      </c>
      <c r="I328" s="8" t="inlineStr">
        <is>
          <t>sefaria-siddur-sefard-upon-arising-upon-entering-synagogue</t>
        </is>
      </c>
    </row>
    <row r="329" ht="233" customHeight="1">
      <c r="A329" s="7">
        <f>IF(LEN(TRIM(F329))=0,"Approved","Comment to address")</f>
        <v/>
      </c>
      <c r="B329" s="12" t="inlineStr">
        <is>
          <t>Morning Blessings</t>
        </is>
      </c>
      <c r="C329" s="12" t="inlineStr">
        <is>
          <t>daily</t>
        </is>
      </c>
      <c r="D329" s="12" t="inlineStr">
        <is>
          <t>Nusach Sefard</t>
        </is>
      </c>
      <c r="E329" s="13" t="inlineStr">
        <is>
          <t>בָּרוּךְ אַתָּה יְהֹוָה אֱלֹהֵֽינוּ מֶֽלֶךְ הָעוֹלָם אֲשֶׁר קִדְּ֒שָֽׁנוּ בְּמִצְוֹתָיו וְצִוָּנוּ עַל נְטִילַת יָדָֽיִם:
בָּרוּךְ אַתָּה יְהֹוָה אֱלֹהֵֽינוּ מֶֽלֶךְ הָעוֹלָם אֲשֶׁר יָצַר אֶת 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 בָּשָׂר וּמַפְלִיא לַעֲשׂוֹת:
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329" s="10" t="inlineStr"/>
      <c r="G329" s="14" t="inlineStr">
        <is>
          <t>Siddur Sefard, Weekday Shacharit, Morning Blessings</t>
        </is>
      </c>
      <c r="H329" s="12" t="inlineStr">
        <is>
          <t>The Metsudah siddur, 1981 — CC-BY</t>
        </is>
      </c>
      <c r="I329" s="12" t="inlineStr">
        <is>
          <t>sefaria-siddur-sefard-weekday-shacharit-morning-blessings</t>
        </is>
      </c>
    </row>
    <row r="330" ht="409" customHeight="1">
      <c r="A330" s="7">
        <f>IF(LEN(TRIM(F330))=0,"Approved","Comment to address")</f>
        <v/>
      </c>
      <c r="B330" s="8" t="inlineStr">
        <is>
          <t>Blessings on Torah</t>
        </is>
      </c>
      <c r="C330" s="8" t="inlineStr">
        <is>
          <t>daily</t>
        </is>
      </c>
      <c r="D330" s="8" t="inlineStr">
        <is>
          <t>Nusach Sefard</t>
        </is>
      </c>
      <c r="E330" s="9" t="inlineStr">
        <is>
          <t>בָּרוּךְ אַתָּה יְהֹוָה אֱלֹהֵֽינוּ מֶֽלֶךְ הָעוֹלָם אֲשֶׁר קִדְּ֒שָֽׁנוּ בְּמִצְוֹתָיו וְצִוָּנוּ לַעֲסֹק בְּדִבְרֵי תוֹרָה:
וְהַעֲרֶב נָא יְהֹוָה אֱלֹהֵֽינוּ אֶת דִּבְרֵי תוֹרָתְ֒ךָ בְּפִֽינוּ וּבְפִי עַמְּ֒ךָ בֵּית יִשְׂרָאֵל וְנִהְיֶה אֲנַחְנוּ וְצֶאֱצָאֵינוּ וְצֶאֱצָאֵי צֶאֱצָאֵינוּ עַמְּ֒ךָ בֵּית יִשְׂרָאֵל כֻּלָּֽנוּ יוֹדְ֒עֵי שְׁמֶֽךָ וְלוֹמְ֒דֵי תוֹרָתֶֽךָ לִשְׁמָהּ: בָּרוּךְ אַתָּה יְהֹוָה הַמְלַמֵּד תּוֹרָה לְעַמּוֹ יִשְׂרָאֵל:
בָּרוּךְ אַתָּה יְהֹוָה אֱלֹהֵֽינוּ מֶֽלֶךְ הָעוֹלָם אֲשֶׁר בָּֽחַר בָּֽנוּ מִכָּל הָעַמִּים וְנָֽתַן לָֽנוּ אֶת תּוֹרָתוֹ: בָּרוּךְ אַתָּה יְהֹוָה נוֹתֵן הַתּוֹרָה:
וַיְדַבֵּר יְהֹוָה אֶל מֹשֶׁה לֵאמֹר דַבֵּר אֶל אַהֲרֹן וְאֶל בָּנָיו לֵאמֹר כֹּה תְבָרְכוּ אֶת בְּנֵי יִשְׂרָאֵל אָמוֹר לָהֶם:
יְבָרֶכְ֒ךָ יְהֹוָה וְיִשְׁמְרֶֽךָ: יָאֵר יְהֹוָה פָּנָיו אֵלֶֽיךָ וִיחֻנֶּֽךָּ: יִשָּׂא יְהֹוָה פָּנָיו אֵלֶֽיךָ וְיָשֵׂם לְךָ שָׁלוֹם:
וְשָׂמוּ אֶת שְׁמִי עַל בְּנֵי יִשְׂרָאֵל וַאֲנִי אַבָרְכֵם:
אֵֽלּוּ דְבָרִים שֶׁאֵין לָהֶם שִׁעוּר הַפֵּאָה וְהַבִּכּוּרִים וְהָרְ֒אָיוֹן וּגְמִילוּת חֲסָדִים וְתַלְמוּד תּוֹרָה: אֵֽלּוּ דְבָרִים שֶׁאָדָם אוֹכֵל פֵּרוֹתֵיהֶם בָּעוֹלָם הַזֶּה וְהַקֶּֽרֶן קַיֶּֽמֶת לָעוֹלָם הַבָּא, וְאֵֽלּוּ הֵן כִּבּוּד אָב וָאֵם וּגְמִילוּת חֲסָדִים וְהַשְׁכָּמַת בֵּית הַמִּדְרָשׁ שַׁחֲרִית וְעַרְבִית וְהַכְנָסַת אוֹרְ֒חִים וּבִקּוּר חוֹלִים וְהַכְנָסַת כַּלָּה וּלְוָיַת הַמֵּת וְעִיּוּן תְּפִלָּה וַהֲבָאַת שָׁלוֹם בֵּין אָדָם לַחֲבֵרוֹ ובֵין אִישׁ לְאִשְׁתּוֹ וְתַלְמוּד תּוֹרָה כְּנֶֽגֶד כֻּלָּם:
בָּרוּךְ אַתָּה יְהֹוָה אֱלֹהֵֽינוּ מֶֽלֶךְ הָעוֹלָם הַּנוֹתֵן לַשֶּֽׂכְוִי בִינָה לְהַבְחִין בֵּין יוֹם וּבֵין לָֽיְלָה:
בָּרוּךְ אַתָּה יְהֹוָה אֱלֹהֵֽינוּ מֶֽלֶךְ הָעוֹלָם שֶׁלֹּא עָשַֽׂנִי גּוֹי:
בָּרוּךְ אַתָּה יְהֹוָה אֱלֹהֵֽינוּ מֶֽלֶךְ הָעוֹלָם שֶׁלֹּא עָשַֽׂנִי עָֽבֶד:
בָּרוּךְ אַתָּה יְהֹוָה אֱלֹהֵֽינוּ מֶֽלֶךְ הָעוֹלָם שֶׁלֹּא עָשַֽׂנִי אִשָּׁה:
נשים אומרות:
בָּרוּךְ אַתָּה יְהֹוָה אֱלֹהֵֽינוּ מֶֽלֶךְ הָעוֹלָם שֶׁעָשַֽׂנִי כִּרְצוֹנוֹ:
בָּרוּךְ אַתָּה יְהֹוָה אֱלֹהֵֽינוּ מֶֽלֶךְ הָעוֹלָם פּוֹקֵֽחַ עִוְרִים:
בָּרוּךְ אַתָּה יְהֹוָה אֱלֹהֵֽינוּ מֶֽלֶךְ הָעוֹלָם מַלְבִּישׁ עֲרֻמִּים:
בָּרוּךְ אַתָּה יְהֹוָה אֱלֹהֵֽינוּ מֶֽלֶךְ הָעוֹלָם מַתִּיר אֲסוּרִים:
בָּרוּךְ אַתָּה יְהֹוָה אֱלֹהֵֽינוּ מֶֽלֶךְ הָעוֹלָם זוֹקֵף כְּפוּפִים:
בָּרוּךְ אַתָּה יְהֹוָה אֱלֹהֵֽינוּ מֶֽלֶךְ הָעוֹלָם רוֹקַע הָאָֽרֶץ עַל הַמָּֽיִם:
בָּרוּךְ אַתָּה יְהֹוָה אֱלֹהֵֽינוּ מֶֽלֶךְ הָעוֹלָם הַמֵּכִין מִצְעֲדֵי גָֽבֶר:
בט' אב ויוה"כ אין אומרים ברכה זו:
בָּרוּךְ אַתָּה יְהֹוָה אֱלֹהֵֽינוּ מֶֽלֶךְ הָעוֹלָם שֶׁעָשָׂה לִי כָּל צָרְכִּי:
בָּרוּךְ אַתָּה יְהֹוָה אֱלֹהֵֽינוּ מֶֽלֶךְ הָעוֹלָם אוֹזֵר יִשְׂרָאֵל בִּגְבוּרָה:
בָּרוּךְ אַתָּה יְהֹוָה אֱלֹהֵֽינוּ מֶֽלֶךְ הָעוֹלָם עוֹטֵר יִשְׂרָאֵל בְּתִפְאָרָה:
בָּרוּךְ אַתָּה יְהֹוָה אֱלֹהֵֽינוּ מֶֽלֶךְ הָעוֹלָם הַנּוֹתֵן לַיָּעֵף כֹּֽחַ:
בָּרוּךְ אַתָּה יְהֹוָה אֱלֹהֵֽינוּ מֶֽלֶךְ הָעוֹלָם הַמַּעֲבִיר שֵׁנָה מֵעֵינָי וּתְנוּמָה מֵעַפְעַפָּי: וִיהִי רָצוֹן מִלְּ֒פָנֶֽיךָ יְהֹוָה אֱלֹהֵֽינוּ וֵאלֹהֵי אֲבוֹתֵֽינוּ שֶׁתַּרְגִּילֵֽנוּ בְּתוֹרָתֶֽךָ וְדַבְּ֒קֵֽנוּ בְּמִצְוֹתֶֽיךָ, וְאַל תְּבִיאֵֽנוּ לֹא לִידֵי חֵטְא וְלֹא לִידֵי עֲבֵרָה וְעָוֹן וְלֹא לִידֵי נִסָּיוֹן וְלֹא לִידֵי בִזָּיוֹן וְאַל יִשְׁלֹט בָּֽנוּ יֵֽצֶר הָרָע וְהַרְחִיקֵֽנוּ מֵאָדָם רָע וּמֵחָבֵר רָע וְדַבְּ֒קֵֽנוּ בְּיֵֽצֶר הַטּוֹב וּבְמַעֲשִׂים טוֹבִים וְכוֹף אֶת יִצְרֵֽנוּ לְהִשְׁתַּעְבֶּד־לָךְ וּתְנֵֽנוּ הַיּוֹם וּבְכָל יוֹם לְחֵן וּלְחֶֽסֶד וּלְרַחֲמִים בְּעֵינֶֽיךָ וּבְעֵינֵי כָל רוֹאֵֽינוּ וְתִגְמְ֒לֵֽנוּ חֲסָדִים טוֹבִים: בָּרוּךְ אַתָּה יְהֹוָה הַגּוֹמֵל חֲסָדִים טוֹבִים לְעַמּוֹ יִשְׂרָאֵל:
יְהִי רָצוֹן מִלְּ֒פָנֶֽיךָ יְהֹוָה אֱלֹהַי וֵאלֹהֵי אֲבוֹתַי שֶׁתַּצִּילֵֽנִי הַיּוֹם וּבְכָל יוֹם מֵעַזֵּי פָנִים וּמֵעַזּוּת פָּנִים מֵאָדָם רָע וּמֵחָבֵר רָע וּמִשָּׁכֵן רָע וּמִפֶּֽגַע רָע מֵעַֽיִן הָרָע, מִלָּשׁוֹן הָרָע, מִמַּלְשִׁינוּת. מֵעֵדוּת שֶֽׁקֶר, מִשִּׂנְאַת הַבְּ֒רִיּוֹת, מֵעֲלִילָה, מִמִּיתָה מְשׁוּנָה, מֵחֳלָיִם רָעִים, וּמִמִּקְרִים רָעִים וּמִשָּׂטָן הַמַּשְׁחִית מִדִּין קָשֶׁה וּמִבַּֽעַל דִּין קָשֶׁה, בֵּין שֶׁהוּא בֶן בְּרִית וּבֵין שֶׁאֵינוֹ בֶן בְּרִית, וּמִדִּינָהּ שֶׁל גֵּיהִנֺּם:</t>
        </is>
      </c>
      <c r="F330" s="10" t="inlineStr"/>
      <c r="G330" s="11" t="inlineStr">
        <is>
          <t>Siddur Sefard, Weekday Shacharit, Blessings on Torah</t>
        </is>
      </c>
      <c r="H330" s="8" t="inlineStr">
        <is>
          <t>The Metsudah siddur, 1981 — CC-BY</t>
        </is>
      </c>
      <c r="I330" s="8" t="inlineStr">
        <is>
          <t>sefaria-siddur-sefard-weekday-shacharit-blessings-on-torah</t>
        </is>
      </c>
    </row>
    <row r="331" ht="409" customHeight="1">
      <c r="A331" s="7">
        <f>IF(LEN(TRIM(F331))=0,"Approved","Comment to address")</f>
        <v/>
      </c>
      <c r="B331" s="12" t="inlineStr">
        <is>
          <t>Morning Prayer</t>
        </is>
      </c>
      <c r="C331" s="12" t="inlineStr">
        <is>
          <t>daily</t>
        </is>
      </c>
      <c r="D331" s="12" t="inlineStr">
        <is>
          <t>Nusach Sefard</t>
        </is>
      </c>
      <c r="E331" s="13" t="inlineStr">
        <is>
          <t>אֱלֹהֵֽינוּ וֵאלֹהֵי אֲבוֹתֵֽינוּ זָכְ֒רֵֽנוּ בְּזִכָּרוֹן טוֹב לְפָנֶֽיךָ וּפָקְ֒דֵֽנוּ בִּפְקֻדַּת יְשׁוּעָה וְרַחֲמִים מִשְּׁ֒מֵי שְׁמֵי קֶֽדֶם וּזְכָר לָֽנוּ יְהֹוָה אֱלֹהֵֽינוּ אַהֲבַת הַקַּדְמוֹנִים אַבְרָהָם יִצְחָק וְיִשְׂרָאֵל עֲבָדֶֽיךָ אֶת הַבְּ֒רִית וְאֶת הַחֶֽסֶד וְאֶת הַשְּׁ֒בוּעָה שֶׁנִּשְׁבַּֽעְתָּ לְאַבְרָהָם אָבִֽינוּ בְּהַר הַמֹּרִיָּה וְאֶת הָעֲקֵדָה שֶׁעָקַד אֶת יִצְחָק בְּנוֹ עַל גַּבֵּי הַמִּזְבֵּֽחַ כַּכָּתוּב בְּתוֹרָתֶֽךָ:
וַיְהִי אַחַר הַדְּ֒בָרִים הָאֵֽלֶּה וְהָאֱלֹהִים נִסָּה אֶת־אַבְרָהָם וַיֹּֽאמֶר אֵלָיו אַבְרָהָם וַיֹּֽאמֶר הִנֵּֽנִי: וַיֹּֽאמֶר קַח־נָא אֶת־בִּנְךָ אֶת־יְחִידְ֒ךָ אֲשֶׁר־אָהַֽבְתָּ אֶת־יִצְחָק וְלֶךְ־לְךָ אֶל־אֶֽרֶץ הַמֹּרִיָּה וְהַעֲלֵֽהוּ שָׁם לְעֹלָה עַל אַחַד הֶהָרִים אֲשֶׁר אֹמַר אֵלֶֽיךָ: וַיַּשְׁכֵּם אַבְרָהָם בַּבֹּֽקֶר וַיַּחֲבשׁ אֶת־חֲמֹרוֹ וַיִּקַּח אֶת־שְׁנֵי נְעָרָיו אִתּוֹ וְאֵת יִצְחָק בְּנוֹ וַיְבַקַּע עֲצֵי עֹלָה וַיָּֽקָם וַיֵּֽלֶךְ אֶל־הַמָּקוֹם אֲשֶׁר־אָֽמַר־לוֹ הָאֱלֹהִֽים: בַּיּוֹם הַשְּׁ֒לִישִׁי וַיִּשָּׂא אַבְרָהָם אֶת־עֵינָיו וַיַּרְא אֶת־הַמָּקוֹם מֵרָחֹק: וַיֹּֽאמֶר אַבְרָהָם אֶל־נְעָרָיו שְׁבוּ־לָכֶם פֹּה עִם־הַחֲמוֹר וַאֲנִי וְהַנַּֽעַר נֵלְ֒כָה עַד־כֹּה וְנִשְׁתַּחֲוֶה וְנָשֽׁוּבָה אֲלֵיכֶם: וַיִּקַּח אַבְרָהָם אֶת־עֲצֵי הָעֹלָה וַיָּֽשֶׂם עַל־יִצְחָק בְּנוֹ וַיִּקַּח בְּיָדוֹ אֶת־הָאֵשׁ וְאֶת־הַמַּאֲכֶֽלֶת וַיֵּלְ֒כוּ שְׁנֵיהֶם יַחְדָּו: וַיֹּֽאמֶר יִצְחָק אֶל־אַבְרָהָם אָבִיו וַיֹּֽאמֶר אָבִי וַיֹּֽאמֶר הִנֶּֽנִּי בְנִי וַיֹּֽאמֶר הִנֵּה הָאֵשׁ וְהָעֵצִים וְאַיֵּה הַשֶּׂה לְעֹלָֽה: וַיֹּֽאמֶר אַבְרָהָם אֱלֹהִים יִרְאֶה־לּוֹ הַשֶּׂה לְעֹלָה בְּנִי וַיֵּלְ֒כוּ שְׁנֵיהֶם יַחְדָּו: וַיָּבֹֽאוּ אֶל־הַמָּקוֹם אֲשֶׁר אָֽמַר־לוֹ הָאֱלֹהִים וַיִּֽבֶן שָׁם אַבְרָהָם אֶת־הַמִּזְבֵּֽחַ וַיַּעֲרֹךְ אֶת־הָעֵצִים וַיַּעֲקֹד אֶת־יִצְחָק בְּנוֹ וַיָּֽשֶׂם אֹתוֹ עַל־הַמִּזְבֵּֽחַ מִמַּֽעַל לָעֵצִים: וַיִּשְׁלַח אַבְרָהָם אֶת־יָדוֹ וַיִּקַּח אֶת־הַמַּאֲכֶֽלֶת לִשְׁחֹט אֶת־בְּנוֹ: וַיִּקְרָא אֵלָיו מַלְאַךְ יְהֹוָה מִן־הַשָּׁמַֽיִם וַיֹּֽאמֶר אַבְרָהָם אַבְרָהָם וַיֹּֽאמֶר הִנֵּֽנִי: וַיֹּֽאמֶר אַל־תִּשְׁלַח יָֽדְ֒ךָ אֶל־הַנַּֽעַר וְאַל־תַּֽעַשׂ לוֹ מְאוּמָה כִּי עַתָּה יָדַֽעְתִּי כִּי־יְרֵא אֱלֹהִים אַֽתָּה וְלֹא חָשַֽׂכְתָּ אֶת־בִּנְךָ אֶת־יְחִידְ֒ךָ מִמֶּֽנִּי: וַיִּשָּׂא אַבְרָהָם אֶת־עֵינָיו וַיַּרְא וְהִנֵּה־אַֽיִל אַחַר נֶאֱחַז בַּסְּ֒בַךְ בְּקַרְנָיו וַיֵּֽלֶךְ אַבְרָהָם וַיִּקַּח אֶת־הָאַֽיִל וַיַּעֲלֵֽהוּ לְעֹלָה תַּֽחַת בְּנוֹ: וַיִּקְרָא אַבְרָהָם שֵׁם־הַמָּקוֹם הַהוּא יְהֹוָה יִרְאֶה אֲשֶׁר יֵאָמֵר הַיּוֹם בְּהַר יְהֹוָה יֵרָאֶה: וַיִּקְרָא מַלְאַךְ יְהֹוָה אֶל־אַבְרָהָם שֵׁנִית מִן־הַשָּׁמָֽיִם: וַיֹּאמֶר בִּי נִשְׁבַּֽעְתִּי נְאֻם־יְהֹוָה כִּי יַֽעַן אֲשֶׁר עָשִֽׂיתָ אֶת־הַדָּבָר הַזֶּה וְלֹא חָשַֽׂכְתָּ אֶת־בִּנְךָ אֶת־יְחִידֶֽךָ: כִּי־בָרֵךְ אֲבָרֶכְ֒ךָ וְהַרְבָּה אַרְבֶּה אֶת־זַרְעֲךָ כְּכוֹכְ֒בֵי הַשָּׁמַֽיִם וְכַחוֹל אֲשֶׁר עַל־שְׂפַת הַיָּם וְיִרַשׁ זַרְעֲךָ אֵת שַֽׁעַר אֹיְ֒בָיו: וְהִתְבָּרְ֒כוּ בְזַרְעֲךָ כֹּל גּוֹיֵי הָאָֽרֶץ עֵֽקֶב אֲשֶׁר שָׁמַֽעְתָּ בְּקֹלִי: וַיָּֽשָׁב אַבְרָהָם אֶל־נְעָרָיו וַיָּקֻֽמוּ וַיֵּלְ֒כוּ יַחְדָּו אֶל־בְּאֵר שָֽׁבַע וַיֵּֽשֶׁב אַבְרָהָם בִּבְאֵר שָֽׁבַע:
ביום שאין אומרים תחנון אין אומרים זה:
רִבּוֹנוֹ שֶׁל עוֹלָם כְּמוֹ שֶׁכָּבַשׁ אַבְרָהָם אָבִינוּ אֶת רַחֲמָיו לַעֲשׂוֹת רְצוֹנְ֒ךָ בְּלֵבָב שָׁלֵם, כֵּן יִכְבְּ֒שׁוּ רַחֲמֶיךָ אֶת כַּעַסְךָ מֵעָלֵינוּ, וְיָגֺֽלּוֹ רַחֲמֶֽיךָ עַל מִדּוֹתֶֽיךָ: וְתִתְנַהֵג עִמָּֽנוּ יְהֹוָה אֱלֹהֵֽינוּ בְּמִדַּת הַחֶֽסֶד וּבְמִדַּת הָרַחֲמִים, וּבְטוּבְ֒ךָ הַגָּדוֹל יָשׁוּב חֲרוֹן אַפְּ֒ךָ מֵעַמְּ֒ךָ וּמֵעִירְ֒ךָ וּמֵאַרְצְ֒ךָ וּמִנַחֲלָתֶֽךָ: וְקַיֶם לָֽנוּ יְהֹוָה אֱלֹהֵֽינוּ אֶת הַדָּבָר שֶׁהִבְטַחְתָּֽנוּ בְּתוֹרָתֶֽךָ, עַל יְדֵי משֶׁה עַבְדֶּֽךָ כָּאָמוּר. וְזָכַרְתִּי אֶת בְּרִיתִי יַעֲקוֹב וְאַף אֶת בְּרִיתִי יִצְחָק, וְאַף אֶת בְּרִיתִי אַבְרָהָם אֶזְכֹּר וְהָאָֽרֶץ אֶזְכֹּר: וְנֶאֱמַר, וְאַף גַּם זֹאת בִּהְיוֹתָם בְּאֶֽרֶץ אֹיְ֒בֵיהֶם לֹא מְאַסְתִּים וְלֹא גְעַלְתִּים לְכַלּוֹתָם לְהָפֵר בְּרִיתִי אִתָּם כִּי אֲנִי יְהֹוָה אֱלֹהֵיהֶם: וְנֶאֱמַר וְזָכַרְתִּי לָהֶם בְּרִית רִאשֺׁנִים אֲשֶׁר הוֹצֵֽאתִי אֹתָם מֵאֶֽרֶץ מִצְרַֽיִם, לְעֵינֵי הַגּוֹיִם לִהְיוֹת לָהֶם לֵאלֹהִים, אֲנִי יְהֹוָה. וְנֶאֶמַר וְשָׁב יְהֹוָה אֱלֹהֶֽיךָ אֶת שְׁבוּתְ֒ךָ וְרִחֲמֶֽךָ, וְשָׁב וְקִבֶּצְךָ מִכָּל הָעַמִּים, אֲשֶׁר הֱפִיצְ֒ךָ יְהֹוָה אֱלֹהֶֽיךָ שָֽׁמָּה. אִם יִהְיֶה נִדַּחֲךָ בִּקְצֵה הַשָּׁמָֽיִם מִשָּׁם יְקַבֶּצְךָ יְהֹוָה אֶלֹהֶֽיךָ וּמִשָּׁם יִקָּחֶֽךָ: וְנֶאֶמַר וֶהֱבִיאֲךָ יְהֹוָה אֱלֹהֶֽיךָ אֶל הָאָֽרֶץ אֲשֶׁר יָרְ֒שׁוּ אֲבֹתֶֽיךָ וִירִשְׁתָּהּ וְהֵיטִבְ֒ךָ וְהִרְבְּ֒ךָ מֵאֲבֹתֶֽיךָ: וְנֶאֱמַר עַל יְדֵי נְבִיאֶֽךָ, יְהֹוָה חָנֵֽנוּ, לְךָ קִוִּֽינוּ הֱיֵה זְרוֹעָם לַבְּ֒קָרִים, אַף יְשׁוּעָתֵֽנוּ בְּעֵת צָרָה: וְנֶאֱמַר, וְעֵת צָרָה הִיא לְיַעֲקֹב וּמִמֶּֽנָּה יִוָּשֵֽׁעַ: וְנֶאֱמַר בְּכָל־צָרָתָם לוֹ צָר וּמַלְאַךְ פָּנָיו הוֹשִׁיעָם, בְּאַהֲבָתוֹ וּבְחֶמְלָתוֹ הוּא גְאָלָם וַיְנַטְּ֒לֵם וַיְנַשְּׂ֒אֵם כָּל־יְמֵי עוֹלָם: וְנֶאֱמַר, מִי אֵל כָּמֽוֹךָ נֹשֵׂא עָוֺן וְעֹבֵר עַל־פֶּֽשַׁע, לִשְׁאֵרִית נַחֲלָתוֹ לֹא־הֶחֱזִיק לָעַד אַפּוֹ, כִּי חָפֵץ חֶֽסֶד הוּא: יָשׁוּב יְרַחְמֵֽנוּ יִכְבּוֹשׁ עֲוֺנוֹתֵֽינוּ, וְתַשְׁלִיךְ בִּמְצוּלוֹת יָם כָּל־חַטֹּאתָם: תִּתֵּן אֱמֶת לְיַעֲקֹב חֶֽסֶד לְאַבְרָהָם אֲשֶׁר נִשְׁבַּֽעְתָּ לַאֲבוֹתֵֽינוּ מִֽימֵי קֶֽדֶם: וְנֶאֱמַר, וַהֲבִיאוֹתִים אֶל־הַר קָדְשִׁי וְשִׂמַּחְתִּים בְּבֵית תְּפִלָּתִי עוֹלוֹתֵיהֶם וְזִבְחֵיהֶם לְרָצוֹן עַל מִזְבְּחִי, כִּי בֵיתִי בֵּית־תְּפִלָּה, יִקָּרֵא לְכָל הָעַמִּים:
לְעוֹלָם יְהֵא אָדָם יְרֵא שָׁמַֽיִם בַּסֵּֽתֶר וּבַגָּלוּי וּמוֹדֶה עַל הָאֱמֶת וְדוֹבֵר אֱמֶת בִּלְבָבוֹ וְיַשְׁכֵּם וְיֹאמַר:
רִבּוֹן כָּל הָעוֹלָמִים וַאֲדוֹנֵי הָאֲדוֹנִים, לֹא עַל צִדְקוֹתֵֽינוּ אֲנַֽחְנוּ מַפִּילִים תַּחֲנוּנֵֽינוּ לְפָנֶֽיךָ כִּי עַל רַחֲמֶֽיךָ הָרַבִּים, מָה אָֽנוּ מֶה חַיֵּֽינוּ מֶה חַסְדֵּֽנוּ, מַה צִּדְקוֹתֵֽינוּ, מַה יְּשׁוּעָתֵֽנוּ, מַה כֹּחֵֽנוּ מַה גְּבוּרָתֵֽנוּ, מַה נֹּאמַר לְפָנֶֽיךָ יְהֹוָה אֱלֹהֵֽינוּ וֵאלֹהֵי אֲבוֹתֵֽינוּ הֲלֹא כָּל הַגִּבּוֹרִים כְּאַֽיִן לְפָנֶֽיךָ וְאַנְשֵׁי הַשֵּׁם כְּלֹא הָיוּ וַחֲכָמִים כִּבְלִי מַדָּע וּנְבוֹנִים כִּבְלִי הַשְׂכֵּל כִּי רוֹב מַעֲשֵׂיהֶם תֹּֽהוּ וִימֵי חַיֵּיהֶם הֶֽבֶל לְפָנֶֽיךָ, וּמוֹתַר הָאָדָם מִן הַבְּ֒הֵמָה אָֽיִן כִּי הַכֹּל הָֽבֶל: לְבַד הַנְשָׁמָה הַטְּ֒הוֹרָה שֶׁהִיא עֲתִידָה לִתֵּן דִּין וְחֶשְׁבּוֹן לִפְנֵי כִסֵּא כְבוֹדֶֽךָ וְכָל הַגּוֹיִם כְּאַֽיִן נֶגְדֶּֽךָ שֶׁנֶּאֶמַר הֵן גּוֹיִם כְּמַר מִדְּ֒לִי וּכְשַֽׁחַק מֹאזְ֒נַֽיִם נֶחְשָֽׁבוּ הֵן אִיִּים כַּדַּק יִטּוֹל:
אֲבָל אֲנַֽחְנוּ עַמְּ֒ךָ בְּנֵי בְרִיתֶֽךָ, בְּנֵי אַבְרָהָם אֹהַבְךָ שֶׁנִּשְׁבַּֽעְתָּ לּוֹ בְּהַר הַמֹּרִיָּה, זֶֽרַע יִצְחָק יְחִידוֹ שֶׁנֶּעֱקַד עַל גַּבֵּי הַמִּזְבֵּֽחַ, עֲדַת יַעֲקֹב בִּנְךָ בְּכוֹרֶֽךָ שֶׁמֵּאַהֲבָתְ֒ךָ שֶׁאָהַֽבְתָּ אוֹתוֹ וּמִשִּׂמְחָתְ֒ךָ שֶׁשָּׂמַֽחְתָּ בּוֹ קָרָֽאתָ אֶת שְׁמוֹ יִשְׂרָאֵל וִישֻׁרוּן:
לְפִיכָךְ אֲנַֽחְנוּ חַיָּבִים לְהוֹדוֹת לְךָ וּלְשַׁבֵּחֲךָ וּלְפָאֶרְךָ וּלְבָרֵךְ וּלְקַדֵּשׁ וְלִתֵּן שֶֽׁבַח וְהוֹדָיָה לִשְׁמֶֽךָ: אַשְׁרֵֽינוּ מַה טּוֹב חֶלְקֵֽנוּ וּמַה נָּעִים גּוֹרָלֵֽנוּ וּמַה יָּפָה יְרֻשָּׁתֵֽנוּ: אַשְׁרֵֽינוּ כְּשֶׁאָֽנוּ מַשְׁכִּימִים וּמַעֲרִיבִים בְּבָתֵּי כְנֵסִיּוֹת וּבְבָתֵּי מִדְרָשׁוֹת וּמְיַחֲדִים שִׁמְךָ בְּכָל־יוֹם תָּמִיד וְאוֹמְ֒רִים פַּעֲמַֽיִם בְּאַהֲבָה:
שְׁמַע יִשְׂרָאֵל יְהֹוָה אֱלֹהֵֽינוּ יְהֹוָה אֶחָד: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אַתָּה הוּא עַד שֶׁלֹּא נִבְרָא הָעוֹלָם, אַתָּה הוּא מִשֶּׁנִּבְרָא הָעוֹלָם, אַתָּה הוּא בָּעוֹלָם הַזֶּה וְאַתָּה הוּא לָעוֹלָם הַבָּא, קַדֵּשׁ אֶת שִׁמְךָ עַל מַקְדִּישֵׁי שְׁמֶֽךָ וְקַדֵּשׁ אֶת שִׁמְךָ בְּעֺלָמֶֽךָ, וּבִישׁוּעָתְ֒ךָ תָּרוּם וְתַגְבִּֽיהַּ קַרְנֵֽנוּ לְמַֽעְלָה, וְהוֹשִׁיעֵֽנוּ בְּקָרוֹב לְמַֽעַן שְׁמֶֽךָ. בָּרוּךְ הַמְקַדֵּשׁ שְׁמוֹ בָּרַבִּים:
אַתָּה הוּא יְהֹוָה אֱלֹהֵֽינוּ בַּשָּׁמַֽיִם וּבָאָֽרֶץ וּבִשְׁמֵי הַשָּׁמַֽיִם הָעֶלְיוֹנִים, אֱמֶת אַתָּה הוּא רִאשׁוֹן וְאַתָּה הוּא אַחֲרוֹן וּמִבַּלְעָדֶֽיךָ אֵין אֱלֹהִים: קַבֵּץ נְפוּצוֹת קֺוֶֽיךָ מֵאַרְבַּע כַּנְ֒פוֹת הָאָֽרֶץ, יַכִּֽירוּ וְיֵדְ֒עוּ כָּל בָּאֵי עוֹלָם כִּי אַתָּה הוּא הָאֱלֹהִים לְבַדְּ֒ךָ עֶלְיוֹן לְכֹל מַמְלְ֒כוֹת הָאָֽרֶץ, אַתָּה עָשִֽׂיתָ אֶת הַשָּׁמַֽיִם וְאֶת הָאָֽרֶץ אֶת הַיָּם וְאֶת כָּל אֲשֶׁר בָּם וּמִי בְּכָל מַעֲשֵׂה יָדֶֽיךָ בָּעֶלְיוֹנִים אוֹ בַתַּחְתּוֹנִים שֶׁיֹּאמַר לְךָ מַה תַּעֲשֶׂה, ומַה תִּפְעָל אָבִינוּ שֶׁבַּשָּׁמַֽיִם חַי וְקַיָם עֲשֵׂה עִמָּֽנוּ צְדָקָה וָחֶֽסֶד בַּעֲבוּר שִׁמְךָ הַגָּדוֹל הַגִּבּוֹר וְהַנּוֹרָא שֶׁנִּקְרָא עָלֵֽינוּ וְקַיֶּם־לָֽנוּ יְהֺוָה אֶלֹהֵֽינוּ מַה־שֶּׁכָּתוּב, אֶת הַדָבָר שֶׁהִבְטַחְתָּֽנוּ עַל יְדֵי צְפַנְיָה חוֹזָךְ כָּאָמוּר, בָּעֵת הַהִיא אָבִיא אֶתְכֶם וּבָעֵת קַבְּ֒צִי אֶתְכֶם כִּי־אֶתֵּן אֶתְכֶם לְשֵׁם וְלִתְהִלָּה בְּכֹל עַמֵּי הָאָֽרֶץ בְּשׁוּבִי אֶת־שְׁבוּתֵיכֶם לְעֵינֵיכֶם אָמַר יְהֹוָה:</t>
        </is>
      </c>
      <c r="F331" s="10" t="inlineStr"/>
      <c r="G331" s="14" t="inlineStr">
        <is>
          <t>Siddur Sefard, Weekday Shacharit, Morning Prayer</t>
        </is>
      </c>
      <c r="H331" s="12" t="inlineStr">
        <is>
          <t>The Metsudah siddur, 1981 — CC-BY</t>
        </is>
      </c>
      <c r="I331" s="12" t="inlineStr">
        <is>
          <t>sefaria-siddur-sefard-weekday-shacharit-morning-prayer</t>
        </is>
      </c>
    </row>
    <row r="332" ht="409" customHeight="1">
      <c r="A332" s="7">
        <f>IF(LEN(TRIM(F332))=0,"Approved","Comment to address")</f>
        <v/>
      </c>
      <c r="B332" s="8" t="inlineStr">
        <is>
          <t>Korbanot</t>
        </is>
      </c>
      <c r="C332" s="8" t="inlineStr">
        <is>
          <t>daily</t>
        </is>
      </c>
      <c r="D332" s="8" t="inlineStr">
        <is>
          <t>Nusach Sefard</t>
        </is>
      </c>
      <c r="E332" s="9" t="inlineStr">
        <is>
          <t>אמרו חכמים (מנחות קי.) מאי דכתיב זאת תורת החטאת וזאת תורת האשם. כל העוסק בתורת חטאת כאילו הקריב חטאת וכל העוסק בתורת אשם כאילו הקריב אשם. ולכן אין די באמירת הפסוקים לבד אלא יתבונן בטעמי הקרבנות ובדיניהם כפי השגתו.
וַיְדַבֵּר יְהֹוָה אֶל־משֶׁה לֵּאמֹר: וְעָשִֽׂיתָ כִּיּוֹר נְחֽשֶׁת וְכַנּוֹ נְחֽשֶׁת לְרָחְצָה וְנָתַתָּ אֹתוֹ בֵּין־אֹֽהֶל מוֹעֵד וּבֵין הַמִּזְבֵּֽחַ וְנָתַתָּ שָֽׁמָּה מָֽיִם: וְרָחֲצוּ אַהֲרֹן וּבָנָיו מִמֶּֽנּוּ אֶת־יְדֵיהֶם וְאֶת־רַגְלֵיהֶם: בְּבֹאָם אֶל־אֹֽהֶל מוֹעֵד יִרְחֲצוּ־מַֽיִם וְלֹא יָמֻֽתוּ אוֹ בְגִשְׁתָּם אֶל־הַמִּזְבֵּֽחַ לְשָׁרֵת לְהַקְטִיר אִשֶּׁה לַיהוָֹה: וְרָחֲצוּ יְדֵיהֶם וְרַגְלֵיהֶם וְלֹא יָמֻֽתוּ וְהָיְ֒תָה לָהֶם חָק־עוֹלָם לוֹ וּלְזַרְעוֹ לְדֹרֹתָם:
תרומת הדשן קודמת לכל עבודות לפיכך יאמר פרשת תרומת הדשן קודם פרשת התמיד. ואומרה אף שלא האיר היום.
וַיְדַבֵּר יְהֹוָה אֶל־משֶׁה לֵּאמֹר: צַו אֶת־אַהֲרֹן וְאֶת־בָּנָיו לֵאמֹר זֹאת תּוֹרַת הָעֹלָה הִוא הָעֹלָה עַל מוֹקְ֒דָה עַל־הַמִּזְבֵּֽחַ כָּל־הַלַּֽיְלָה עַד־הַבֹּֽקֶר וְאֵשׁ הַמִּזְבֵּֽחַ תּוּקַד בּוֹ: וְלָבַשׁ הַכֹּהֵן מִדּוֹ בַד וּמִכְנְ֒סֵי־בַד יִלְבַּשׁ עַל־בְּשָׂרוֹ וְהֵרִים אֶת־הַדֶּֽשֶׁן אֲשֶׁר תֹּאכַל הָאֵשׁ אֶת הָעֹלָה עַל־הַמִּזְבֵּֽחַ וְשָׂמוֹ אֵֽצֶל הַמִּזְבֵּֽחַ: וּפָשַׁט אֶת־בְּגָדָיו וְלָבַשׁ בְּגָדִים אֲחֵרִים וְהוֹצִיא אֶת־הַדֶּֽשֶׁן אֶל־מִחוּץ לַמַּחֲנֶה אֶל־מָקוֹם טָהוֹר: וְהָאֵשׁ עַל־הַמִּזְבֵּֽחַ תּֽוּקַד־בּוֹ לֹא תִכְבֶּה וּבִעֵר עָלֶֽיהָ הַכֹּהֵן עֵצִים בַּבֹּֽקֶר בַּבֹּֽקֶר וְעָרַךְ עָלֶֽיהָ הָעֹלָה וְהִקְטִיר עָלֶֽיהָ חֶלְבֵי הַשְּׁ֒לָמִים: אֵשׁ תָּמִיד תּוּקַד עַל־הַמִּזְבֵּֽחַ לֹא תִכְבֶּה:
אומרים פרשת התמיד. ואם אי אפשר לאומרה בצבור יכול לאומרה בביתו ולחזור לקרותה עם הצבור. ויכוין בפעם השנייה כקורא בתורה (טור). יש מי שמצריך לעמוד בשעת אמירת הקרבנות, דהקרבת קרבן אינו אלא בעמידה (מגן אברהם).
יש שאין אומרים 'יהי רצון' בשבת ויום טוב
יְהִי רָצוֹן מִלְּ֒פָנֶֽיךָ, יְהֹוָה אֱלֹהֵֽינוּ וֵאלֹהֵי אֲבוֹתֵֽינוּ, שֶׁתְּ֒רַחֵם עָלֵֽינוּ וְתִמְחָל לָֽנוּ עַל כָּל חַטֹּאתֵֽינוּ וּתְכַפֶּר לָֽנוּ אֶת כָּל עֲוֹנוֹתֵֽינוּ וְתִסְלַח לָֽנוּ עַל־כָּל פְּשָׁעֵֽינוּ וְשֶׁתִּבְנֶה בֵּית הַמִּקְדָּשׁ בִּמְהֵרָה בְיָמֵֽינוּ וְנַקְרִיב לְפָנֶֽיךָ קָרְבַּן הַתָּמִיד שֶׁיְּ֒כַפֵּר בַּעֲדֵֽנוּ כְּמוֹ שֶׁכָּתַֽבְתָּ עָלֵֽינוּ בְּתוֹרָתֶֽךָ, עַל יְדֵי משֶׁה עַבְדֶּֽךָ, מִפִּי כְבוֹדֶֽךָ כָּאָמוּר:
וַיְדַבֵּר יְהֹוָה אֶל־משֶׁה לֵּאמֹר: צַו אֶת־בְּנֵי יִשְׂרָאֵל וְאָמַרְתָּ אֲלֵהֶם אֶת־קָרְבָּנִי לַחְמִי לְאִשַּׁי רֵֽיחַ נִיחֹחִי תִּשְׁמְ֒רוּ לְהַקְרִיב לִי בְּמוֹעֲדוֹ: וְאָמַרְתָּ לָהֶם זֶה הָאִשֶּׁה אֲשֶׁר תַּקְרִֽיבוּ לַיהוָֹה כְּבָשִׂים בְּנֵי־שָׁנָה תְמִימִם שְׁנַֽיִם לַיּוֹם עֹלָה תָמִיד: אֶת־הַכֶּֽבֶשׂ אֶחָד תַּעֲשֶׂה בַבֹּֽקֶר וְאֵת הַכֶּֽבֶשׂ הַשֵּׁנִי תַּעֲשֶׂה בֵּין הָעַרְבָּֽיִם: וַֽעֲשִׂירִית הָאֵיפָה סֹֽלֶת לְמִנְחָה בְּלוּלָה בְּשֶֽׁמֶן כָּתִית רְבִיעִת הַהִין: עֹלַת תָּמִיד הָעֲשֻׂיָה בְּהַר סִינַי לְרֵֽיחַ נִיחֹֽחַ אִשֶּׁה לַיהוָֹה: וְנִסְכּוֹ רְבִיעִת הַהִין לַכֶּֽבֶשׂ הָאֶחָד בַּקֹּֽדֶשׁ הַסֵּךְ נֶֽסֶךְ שֵׁכָר לַיהוָֹה: וְאֵת הַכֶּֽבֶשׂ הַשֵּׁנִי תַּעֲשֶׂה בֵּין הָעַרְבָּֽיִם כְּמִנְחַת הַבֹּֽקֶר וּכְנִסְכּוֹ תַּעֲשֶׂה אִשֵּׁה רֵֽיחַ נִיחֹֽחַ לַיהוָֹה:
וְשָׁחַט אֹתוֹ עַל יֶֽרֶךְ הַמִּזְבֵּֽחַ צָפֹֽנָה לִפְנֵי יְהֹוָה וְזָרְקוּ בְּנֵי אַהֲרֹן הַכֹּהֲנִים אֶת־דָּמוֹ עַל־הַמִּזְבֵּֽחַ סָבִיב:
יְהִי רָצוֹן מִלְּ֒פָנֶֽיךָ, יְהֹוָה אֱלֹהֵֽינוּ וֵאלֹהֵי אֲבוֹתֵֽינוּ, שֶׁתְּ֒הֵא אֲמִירָה זוּ, חֲשׁוּבָה וּמְקֻבֶּֽלֶת, וּמְרֻצָּה לְפָנֶֽיךָ, כְּאִלּוּ הִקְרַֽבְנוּ קָרְבַּן הַתָּמִיד בְּמוֹעֲדוֹ, וּבִמְ֒קוֹמוֹ וּכְהִלְכָתוֹ:
אַתָּה הוּא יְהֹוָה אֱלֹהֵֽינוּ שֶׁהִקְטִֽירוּ אֲבוֹתֵֽינוּ לְפָנֶֽיךָ אֶת קְטֹֽרֶת הַסַּמִּים בִּזְמַן שֶׁבֵּית הַמִּקְדָּשׁ הָיָה קַיָּם כַּאֲשֶׁר צִוִּיתָ אוֹתָם עַל יְדֵי משֶׁה נְבִיאֶֽךָ כַּכָּתוּב בְּתוֹרָתֶֽךָ:
וַיֹּֽאמֶר יְהֹוָה אֶל־משֶׁה קַח־לְךָ סַמִּים נָטָף וּשְׁחֵֽלֶת וְחֶלְבְּנָה סַמִּים וּלְבֹנָה זַכָּה בַּד בְּבַד יִהְיֶה: וְעָשִֽׂיתָ אֹתָהּ קְטֹֽרֶת רֹֽקַח מַעֲשֵׂה רוֹקֵֽחַ מְמֻלָּח טָהוֹר קֹֽדֶשׁ: וְשָׁחַקְתָּ מִמֶּֽנָּה הָדֵק וְנָתַתָּה מִמֶּֽנָּה לִפְנֵי הָעֵדֻת בְּאֹֽהֶל מוֹעֵד אֲשֶׁר אִוָּעֵד לְךָ שָֽׁמָּה קֹֽדֶשׁ קָדָשִׁים תִּהְיֶה לָכֶם: וְנֶאֱמַר
וְהִקְטִיר עָלָיו אַהֲרֹן קְטֹֽרֶת סַמִּים בַּבֹּֽקֶר בַּבֹּֽקֶר בְּהֵיטִיבוֹ אֶת־הַנֵּרֹת יַקְטִירֶֽנָּה: וּבְהַעֲלֹת אַהֲרֹן אֶת־הַנֵּרֹת בֵּין הָֽעַרְבַּֽיִם יַקְטִירֶֽנָּה קְטֹֽרֶת תָּמִיד לִפְנֵי יְהֹוָה לְדֹרֹתֵיכֶם:
תָּנוּ רַבָּנָן פִּטּוּם הַקְּ֒טֹֽרֶת כֵּיצַד שְׁלֹש מֵאוֹת וְשִׁשִּׁים וּשְׁמוֹנָה מָנִים הָיוּ בָהּ, שְׁלֹש מֵאוֹת וְשִׁשִּׁים וַחֲמִשָּׁה כְּמִנְיַן יְמוֹת הַחַמָּה מָנֶה לְכָל יוֹם, פְּרַס בַּשַּׁחֲרִית וּפְרַס בֵּין הָעַרְבָּֽיִם, וּשְׁלשָׁה מָנִים יְתֵרִים שֶׁמֵּהֶם מַכְנִיס כֹּהֵן גָּדוֹל מְלֹא חָפְנָיו בְּיוֹם הַכִּפּוּרִים, וּמַחֲזִירָן לְמַכְתֶּֽשֶׁת בְּעֶֽרֶב יוֹם הַכִּפּוּרִים, וְשׁוֹחֲקָן יָפֶה יָפֶה כְּדֵי שֶׁתְּ֒הֵא דַקָּה מִן הַדַּקָּה, וְאַחַד עָשָׂר סַמָּנִים הָֽיוּ בָהּ, וְאֵֽלּוּ הֵן הַצֳּרִי וְהַצִּפֹּֽרֶן הַחֶלְבְּנָה וְהַלְּ֒בוֹנָה מִשְׁקַל שִׁבְעִים שִׁבְעִים מָנֶה, מוֹר וּקְצִיעָה שִׁבֹּֽלֶת נֵרְדְּ וְכַרְכֹּם מִשְׁקַל שִׁשָּׁה עָשָׂר שִׁשָּׁה עָשָׂר מָנֶה, הַקּשְׁטְ שְׁנֵים עָשָׂר וְקִלּוּפָה שְׁלשָׁה וְקִנָּמוֹן תִּשְׁעָה, בֹּרִית כַּרְשִׁינָה תִּשְׁעָה קַבִּין, יֵין קַפְרִיסִין סְאִין תְּלָתָא וְקַבִּין תְּלָתָא, וְאִם אֵין לוֹ יֵין קַפְרִיסִין מֵבִיא חֲמַר חִוַּרְיָן עַתִּיק, מֶֽלַח סְדוֹמִית רֹֽבַע הַקָּב, מַעֲלֶה עָשָׁן כָּל שֶׁהוּא, רַבִּי נָתָן הַבַּבְלִי אוֹמֵר אַף כִּפַּת הַיַּרְדֵּן כָּל שֶׁהוּא, וְאִם נָֽתַן בָּהּ דְּבַשׁ פְּסָלָהּ וְאִם חִסַּר אַחַת מִכָּל סַמָּנֶֽיהָ חַיָּב מִיתָה:
רַבָּן שִׁמְעוֹן בֶּן גַּמְלִיאֵל אוֹמֵר הַצֳּרִי אֵינוֹ אֶלָּא שְׂרָף הַנּוֹטֵף מֵעֲצֵי הַקְּ֒טָף, בֹּרִית כַּרְשִׁינָה שֶׁשָׁפִין בָּה אֶת הַצִפֹּרֶן כִּדֵי שֶׁתְּ֒הֵא נָאָה יֵין קַפְרִיסִין שֶׁשׁוֹרִין בּוֹ אֶת הַצִפֹּרֶן כְּדֵי שֶׁתְּ֒הֵא עַזָּה, וַהֲלֹא מֵי רַגְלַֽיִם יָפִין לָהּ אֶלָּא שֶׁאֵין מַכְנִיסִין מֵי רַגְלַֽיִם בַּמִּקְדָּשׁ מִפְּנֵי הַכָּבוֹד:
תַּנְיָא רַבִּי נָתָן אוֹמֵר כְּשֶׁהוּא שׁוֹחֵק אוֹמֵר הָדֵק הֵיטֵב הֵיטֵב הָדֵק מִפְּ֒נֵי שֶׁהַקּוֹל יָפֶה לַבְּ֒שָׂמִים, פִּטְּ֒מָהּ לַחֲצָאִין כְּשֵׁרָה לִשְׁלִישׁ וְלִרְבִֽיעַ לֹא שָׁמַֽעְנוּ: אָמַר רַבִּי יְהוּדָה זֶה הַכְּ֒לָל אִם כְּמִדָּתָהּ כְּשֵׁרָה לַחֲצָאִין וְאִם חִסַּר אַחַת מִכָּל סַמָּנֶֽיהָ חַיָּב מִיתָה:
תַּנְיָא בַּר קַפָּרָא אוֹמֵר אַחַת לְשִׁשִּׁים אוֹ לְשִׁבְעִים שָׁנָה הָיְ֒תָה בָאָה שֶׁל שִׁירַֽיִם לַחֲצָאִין: וְעוֹד תָּנֵי בַּר קַפָּרָא אִלּוּ הָיָה נוֹתֵן בָּהּ קוֹרְ֒טוֹב שֶׁל דְּבַשׁ אֵין אָדָם יָכוֹל לַעֲמֹד מִפְּ֒נֵי רֵיחָהּ וְלָֽמָּה אֵין מְעָרְ֒בִין בָּהּ דְּבַשׁ מִפְּ֒נֵי שֶׁהַתּוֹרָה אָמְ֒רָה כִּי כָל־שְׂאֹר וְכָל־דְּבַשׁ לֹא־תַקְטִֽירוּ מִמֶּֽנּוּ אִשֶּׁה לַיהוָֹה:
אומר ג' פעמים:
יְהֹוָה צְבָאוֹת עִמָּֽנוּ מִשְׂגַּב־לָֽנוּ אֱלֹהֵי יַעֲקֹב סֶֽלָה: יְהֹוָה צְבָאוֹת אַשְׁרֵי אָדָם בֹּטֵֽחַ בָּךְ: יְהֹוָה הוֹשִֽׁיעָה הַמֶּֽלֶךְ יַעֲנֵֽנוּ בְיוֹם־קָרְאֵֽנוּ:
אַתָּה סֵֽתֶר לִי מִצַּר תִּצְּ֒רֵֽנִי רָנֵּי פַלֵּט תְּסוֹבְ֒בֵֽנִי סֶֽלָה: וְעָרְ֒בָה לַיהוָֹה מִנְחַת יְהוּדָה וִירוּשָׁלָֽםִ כִּימֵי עוֹלָם וּכְשָׁנִים קַדְמֹנִיּוֹת:
אַבַּיֵּי הֲוָה מְסַדֵּר סֵֽדֶר הַמַּעֲרָכָה מִשְּׁ֒מָא דִגְמָרָא וְאַלִּבָּא דְאַבָּא שָׁאוּל, מַעֲרָכָה גְדוֹלָה קוֹדֶֽמֶת לְמַעֲרָכָה שְׁנִיָּה שֶׁל קְטֹֽרֶת, וּמַעֲרָכָה שְׁנִיָּה שֶׁל קְטֹֽרֶת קוֹדֶֽמֶת לְסִדּוּר שְׁנֵי גִזְרֵי עֵצִים, וְסִדּוּר שְׁנֵי גִזְרֵי עֵצִים קֽוֹדֶם לְדִשּׁוּן מִזְבֵּֽחַ הַפְּ֒נִימִי, וְדִשּׁוּן מִזְבֵּֽחַ הַפְּ֒נִימִי קֽוֹדֶם לְהַטָּבַת חָמֵשׁ נֵרוֹת, וְהַטָּבַת חָמֵשׁ נֵרוֹת קוֹדֶֽמֶת לְדַם הַתָּמִיד, וְדַם הַתָּמִיד קֽוֹדֶם לְהַטָּבַת שְׁתֵּי נֵרוֹת, וְהַטָּבַת שְׁתֵּי נֵרוֹת קוֹדֶֽמֶת לִקְטֹֽרֶת, וּקְטֹֽרֶת קוֹדֶֽמֶת לְאֵבָרִים, וְאֵבָרִים לְמִנְחָה, וּמִנְחָה לַחֲבִתִּין, וַחֲבִתִּין לִנְסָכִין, וּנְסָכִין לְמוּסָפִין, וּמוּסָפִין לְבָזִיכִין, וּבָזִיכִין קוֹדְ֒מִין לְתָמִיד שֶׁל בֵּין הָעַרְבָּֽיִם, שֶׁנֶּאֱמַר וְעָרַךְ עָלֶֽיהָ הָעֹלָה וְהִקְטִיר עָלֶֽיהָ חֶלְבֵי הַשְּׁ֒לָמִים, עָלֶֽיהָ הַשְׁלֵם כָּל הַקָּרְבָּנוֹת כֻּלָּם:
ואח"כ יאמר תפלת רבי נחוניא בן הקנה:
אָֽנָּא בְּכֹֽחַ גְּדֻלַּת יְמִינְ֒ךָ תַּתִּיר צְרוּרָה: קַבֵּל רִנַּת עַמְּ֒ךָ שַׂגְּ֒בֵֽנוּ טַהֲרֵֽנוּ נוֹרָא: נָא גִבּוֹר דּוֹרְ֒שֵׁי יִחוּדְ֒ךָ כְּבָבַת שָׁמְ֒רֵם: בָּרְ֒כֵם טַהֲרֵם רַחֲמֵם צִדְקָתְ֒ךָ תָּמִיד גָּמְ֒לֵם: חֲסִין קָדוֹשׁ בְּרֹב טוּבְ֒ךָ נַהֵל עֲדָתֶֽךָ: יָחִיד גֵּאֶה לְעַמְּ֒ךָ פְּנֵה, זוֹכְ֒רֵי קְדֻשָּׁתֶֽךָ: שַׁוְעָתֵֽנוּ קַבֵּל וּשְׁמַע צַעֲקָתֵֽנוּ יוֹדֵֽעַ תַּעֲלוּמוֹת: בָּרוּךְ שֵׁם כְּבוֹד מַלְכוּתוֹ לְעוֹלָם וָעֶד:
רִבּוֹן הָעוֹלָמִים אַתָּה צִוִּיתָֽנוּ לְהַקְרִיב קָרְבַּן הַתָּמִיד בְּמוֹעֲדוֹ וְלִהְיוֹת כֹּהֲנִים בַּעֲבוֹדָתָם וּלְוִיִּם בְּדוּכָנָם וְיִשְׂרָאֵל בְּמַעֲמָדָם, וְעַתָּה בַּעֲוֹנוֹתֵֽינוּ חָרַב בֵּית הַמִּקְדָּשׁ וּבֻטַּל הַתָּמִיד וְאֵין לָֽנוּ לֹא כֹהֵן בַּעֲבוֹדָתוֹ וְלֹא לֵוִי בְּדוּכָנוֹ וְלֹא יִשְׂרָאֵל בְּמַעֲמָדוֹ. לָכֵן יְהִי רָצוֹן מִלְּ֒פָנֶֽיךָ יְהֹוָה אֱלֹהֵֽינוּ וֵאלֹהֵי אֲבוֹתֵֽינוּ שֶׁיְּ֒הֵא שִֽׂיחַ שִׂפְתוֹתֵֽינוּ חָשׁוּב וּמְקֻבָּל וּמְרֻצֶּה לְפָנֶֽיךָ כְּאִלּוּ הִקְרַֽבְנוּ קָרְבַּן הַתָּמִיד בְּמוֹעֲדוֹ וְעָמַֽדְנוּ עַל מַעֲמָדוֹ. כְּמָה שֶׁנֶּאֱמַר וּנְשַׁלְּ֒מָה פָרִים שְׂפָתֵֽינוּ: וְנֶאֶמַר וְשָׁחַט אֹתוֹ עַל יֶֽרֶךְ הַמִּזְבֵּֽחַ צָפֹֽנָה לִפְנֵי יְהֹוָה וְזָרְ֒קוּ בְּנֵי אַהֲרֹן הַכֹּהֲנִים אֶת־דָּמוֹ עַל־הַמִּזְבֵּֽחַ סָבִיב: וְנֶאֱמַר זֹאת הַתּוֹרָה לָעֹלָה לַמִּנְחָה וְלַחַטָּאת וְלָאָשָׁם וְלַמִּלּוּאִים וּלְזֶֽבַח הַשְּׁ֒לָמִים:
בראש חודש מוסיפים:
וּבְרָאשֵׁי חָדְשֵׁיכֶם תַּקְרִֽיבוּ עֹלָה לַיהוָֹה פָּרִים בְּנֵי־בָקָר שְׁנַֽיִם וְאַֽיִל אֶחָד כְּבָשִׂים בְּנֵי־שָׁנָה שִׁבְעָה תְּמִימִם: וּשְׁלשָׁה עֶשְׂרֹנִים סֹֽלֶת מִנְחָה בְּלוּלָה בַשֶּֽׁמֶן לַפָּר הָאֶחָד וּשְׁ֒נֵי עֶשְׂרֹנִים סֹֽלֶת מִנְחָה בְּלוּלָה בַשֶּֽׁמֶן לָאַֽיִל הָאֶחָד: וְעִשָּׂרֹן עִשָּׂרוֹן סֹֽלֶת מִנְחָה בְּלוּלָה בַשֶּֽׁמֶן לַכֶּֽבֶשׂ הָאֶחָד עֹלָה רֵֽיחַ נִיחֹֽחַ אִשֶּׁה לַיהוָֹה: וְנִסְכֵּיהֶם חֲצִי הַהִין יִהְיֶה לַפָּר וּשְׁלִישִׁת הַהִין לָאַֽיִל וּרְבִיעִת הַהִין לַכֶּֽבֶשׂ יָֽיִן זֹאת עֹלַת חֹֽדֶשׁ בְּחָדְשׁוֹ לְחָדְשֵׁי הַשָּׁנָה: וּשְׂעִיר עִזִּים אֶחָד לְחַטָּאת לַיהוָֹה עַל עֹלַת הַתָּמִיד יֵעָשֶׂה וְנִסְכּוֹ:
קבעו לשנות אחר פרשת התמיד פרק איזהו מקומן וברייתא דרבי ישמעאל כדי שיזכה כל אדם ללמוד בכל יום מקרא משנה וגמרא. דברייתא דרבי ישמעאל הוי במקום גמרא, שהמדרש כגמרא: (שו"ע או"ח נ, א)
הא דתקינו לשנות פרק 'איזהו מקומן', לפי שאין בכל אותו פרק מחלוקת והיא משנה ברורה למשה מסיני. (ב"י)
משנה א אֵיזֶהוּ מְקוֹמָן שֶׁל זְבָחִים קָדְשֵׁי קָדָשִׁים שְׁחִיטָתָן בַּצָּפוֹן פָּר וְשָׂעִיר שֶׁל יוֹם הַכִּפּוּרִים שְׁחִיטָתָן בַּצָּפוֹן וְקִבּוּל דָּמָן בִּכְלִי שָׁרֵת בַּצָּפוֹן וְדָמָן טָעוּן הַזָּיָה עַל בֵּין הַבַּדִּים וְעַל הַפָּרֹֽכֶת וְעַל מִזְבַּח הַזָּהָב מַתָּנָה אַחַת מֵהֶן מְעַכָּֽבֶת: שְׁיָרֵי הַדָּם הָיָה שׁוֹפֵךְ עַל יְסוֹד מַעֲרָבִי שֶׁל מִזְבֵּֽחַ הַחִיצוֹן אִם לֹא נָתַן לֹא עִכֵּב:
משנה ב פָּרִים הַנִּשְׂרָפִים וּשְׂעִירִים הַנִּשְׂרָפִים שְׁחִיטָתָן בַּצָּפוֹן וְקִבּוּל דָּמָן בִּכְלִי שָׁרֵת בַּצָּפוֹן וְדָמָן טָעוּן הַזָּיָה עַל הַפָּרֹֽכֶת וְעַל מִזְבַּח הַזָּהָב מַתָּנָה אַחַת מֵהֶן מְעַכָּֽבֶת: שְׁיָרֵי הַדָּם הָיָה שׁוֹפֵךְ עַל יְסוֹד מַעֲרָבִי שֶׁל מִזְבֵּֽחַ הַחִיצוֹן אִם לֹא נָתַן לֹא עִכֵּב אֵֽלּוּ וָאֵֽלּוּ נִשְׂרָפִין בְּבֵית הַדָּֽשֶׁן:
משנה ג חַטֹּאת הַצִּבּוּר וְהַיָּחִיד אֵֽלּוּ הֵן חַטֹּאת הַצִּבּוּר שְׂעִירֵי רָאשֵׁי חֳדָשִׁים וְשֶׁל מוֹעֲדוֹת שְׁחִיטָתָן בַּצָּפוֹן וְקִבּוּל דָּמָן בִּכְלִי שָׁרֵת בַּצָּפוֹן וְדָמָן טָעוּן אַרְבַּע מַתָּנוֹת עַל אַרְבַּע קְרָנוֹת, כֵּיצַד עָלָה בַכֶּֽבֶשׁ וּפָנָה לַסּוֹבֵב וּבָא לוֹ לְקֶֽרֶן דְּרוֹמִית מִזְרָחִית, מִזְרָחִית צְפוֹנִית, צְפוֹנִית מַעֲרָבִית, מַעֲרָבִית דְּרוֹמִית, שְׁיָרֵי הַדָּם הָיָה שׁוֹפֵךְ עַל יְסוֹד דְּרוֹמִי וְנֶאֱכָלִין לִפְנִים מִן הַקְּ֒לָעִים לְזִכְרֵי כְהֻנָּה בְּכָל מַאֲכָל לְיוֹם וָלַֽיְלָה עַד חֲצוֹת:
יְהִי רָצוֹן מִלְּ֒פָנֶֽיךָ יְהֹוָה אֱלֹהֵֽינוּ וֵאלֹהֵי אֲבוֹתֵֽינוּ אִם נִתְחַיַּֽבְתִּי חַטָּאת שֶּׁתְּ֒הֵא אֲמִֽירָה זוּ מְרֻצָּה לְפָנֶֽיךָ כְּאִֽלּוּ הִקְרַֽבְתִּי חַטָּאת:
משנה ד הָעוֹלָה קֹֽדֶשׁ קָדָשִׁים שְׁחִיטָתָהּ בַּצָּפוֹן וְקִבּוּל דָּמָהּ בִּכְלִי שָׁרֵת בַּצָּפוֹן וְדָמָהּ טָעוּן שְׁתֵּי מַתָּנוֹת שֶׁהֵן אַרְבַּע וּטְעוּנָה הֶפְשֵׁט וְנִתּֽוּחַ וְכָלִיל לָאִשִּׁים:
יְהִי רָצוֹן כְּאִֽלּוּ הִקְרַֽבְתִּי עוֹלָה:
משנה ה זִבְחֵי שַׁלְמֵי צִבּוּר וַאֲשָׁמוֹת, אֵֽלּוּ הֵן אֲשָׁמוֹת אֲשַׁם גְּזֵלוֹת אֲשַׁם מְעִילוֹת אֲשַׁם שִׁפְחָה חֲרוּפָה אֲשַׁם נָזִיר אֲשַׁם מְצוֹרָע אָשָׁם תָּלוּי, שְׁחִיטָתָן בַּצָּפוֹן וְקִבּוּל דָּמָן בִּכְלִי שָׁרֵת בַּצָּפוֹן, וְדָמָן טָעוּן שְׁתֵּי מַתָּנוֹת שֶׁהֵן אַרְבַּע, וְנֶאֱכָלִין לִפְנִים מִן הַקְּ֒לָעִים לְזִכְרֵי כְהֻנָּה בְּכָל מַאֲכָל לְיוֹם וָלַֽיְלָה עַד חֲצוֹת:
יְהִי רָצוֹן מִלְּ֒פָנֶֽיךָ יְהֹוָה אֱלֹהֵֽינוּ וֵאלֹהֵי אֲבוֹתֵֽינוּ אִם נִתְחַיַּֽבְתִּי אָשָׁם שֶּׁתְּ֒הֵא אֲמִֽירָה זוּ מְרֻצָּה לְפָנֶֽיךָ כְּאִֽלּוּ הִקְרַֽבְתִּי אָשָׁם:
משנה ו הַתּוֹדָה וְאֵיל נָזִיר קָדָשִׁים קַלִּים שְׁחִיטָתָן בְּכָל־מָקוֹם בָּעֲזָרָה וְדָמָן טָעוּן שְׁתֵּי מַתָּנוֹת שֶׁהֵן אַרְבַּע, וְנֶאֱכָלִין בְּכָל־הָעִיר לְכָל־אָדָם בְּכָל־מַאֲכָל לְיוֹם וָלַֽיְלָה עַד־חֲצוֹת, הַמּוּרָם מֵהֶם כַּיּוֹצֵא בָהֶם אֶלָּא שֶׁהַמּוּרָם נֶאֱכָל לַכֹּהֲנִים לִנְשֵׁיהֶם וְלִבְנֵיהֶם וּלְעַבְדֵיהֶם:
יְהִי רָצוֹן כְּאִֽלּוּ הִקְרַֽבְתִּי תּוֹדָה:
משנה ז שְׁלָמִים קָדָשִׁים קַלִּים שְׁחִיטָתָן בְּכָל מָקוֹם בָּעֲזָרָה וְדָמָן טָעוּן שְׁתֵּי מַתָּנוֹת שֶׁהֵן אַרְבַּע, וְנֶאֱכָלִין בְּכָל הָעִיר לְכָל אָדָם בְּכָל מַאֲכָל לִשְׁנֵי יָמִים וְלַֽיְלָה אֶחָד: הַמּוּרָם מֵהֶם כַּיּוֹצֵא בָהֶם אֶלָּא שֶׁהַמּוּרָם נֶאֱכָל לַכֹּהֲנִים לִנְשֵׁיהֶם וְלִבְנֵיהֶם וּלְעַבְדֵיהֶם:
יְהִי רָצוֹן כְּאִֽלּוּ הִקְרַֽבְתִּי שְׁלָמִים:
משנה ח הַבְּ֒כוֹר וְהַמַּעֲשֵׂר וְהַפֶּֽסַח קָדָשִׁים קַלִּים שְׁחִיטָתָן בְּכָל מָקוֹם בָּעֲזָרָה וְדָמָן טָעוּן מַתָּנָה אֶחָת וּבִלְבָד שֶׁיִּתֵּן כְּנֶֽגֶד הַיְסוֹד, שִׁנָּה בַאֲכִילָתָן הַבְּ֒כוֹר נֶאֱכָל לַכֹּהֲנִים וְהַמַּעֲשֵׂר לְכָל אָדָם, וְנֶאֱכָלִין בְּכָל הָעִיר בְּכָל מַאֲכָל לִשְׁנֵי יָמִים וְלַֽיְלָה אֶחָד: הַפֶּֽסַח אֵינוֹ נֶאֱכָל אֶלָּא בַלַּֽיְלָה וְאֵינוֹ נֶאֱכָל אֶלָּא עַד חֲצוֹת וְאֵינוֹ נֶאֱכָל אֶלָּא לִמְנוּיָו וְאֵינוֹ נֶאֱכָל אֶלָּא צָלִי:</t>
        </is>
      </c>
      <c r="F332" s="10" t="inlineStr"/>
      <c r="G332" s="11" t="inlineStr">
        <is>
          <t>Siddur Sefard, Weekday Shacharit, Korbanot</t>
        </is>
      </c>
      <c r="H332" s="8" t="inlineStr">
        <is>
          <t>The Metsudah siddur, 1981 — CC-BY</t>
        </is>
      </c>
      <c r="I332" s="8" t="inlineStr">
        <is>
          <t>sefaria-siddur-sefard-weekday-shacharit-korbanot</t>
        </is>
      </c>
    </row>
    <row r="333" ht="409" customHeight="1">
      <c r="A333" s="7">
        <f>IF(LEN(TRIM(F333))=0,"Approved","Comment to address")</f>
        <v/>
      </c>
      <c r="B333" s="12" t="inlineStr">
        <is>
          <t>B'raita d'Rabi Yishmael</t>
        </is>
      </c>
      <c r="C333" s="12" t="inlineStr">
        <is>
          <t>daily</t>
        </is>
      </c>
      <c r="D333" s="12" t="inlineStr">
        <is>
          <t>Nusach Sefard</t>
        </is>
      </c>
      <c r="E333" s="13" t="inlineStr">
        <is>
          <t>רַבִּי יִשְׁמָעֵאל אוֹמֵר בִּשְׁלשׁ עֶשְׂרֵה מִדּוֹת הַתּוֹרָה נִדְרֶֽשֶׁת בָּהֵן: מִקַּל וָחֹֽמֶר, וּמִגְּ֒זֵרָה שָׁוָה, מִבִּנְיַן אָב מִכָּתוּב אֶחָד, וּמִבִּנְיַן אָב מִשְּׁ֒נֵי כְתוּבִים, מִכְּ֒לָל וּפְרָט, וּמִפְּ֒רָט וּכְלָל, כְּלָל וּפְרָט וּכְלָל אִי אַתָּה דָן אֶלָּא כְּעֵין הַפְּ֒רָט, מִכְּ֒לָל שֶׁהוּא צָרִיךְ לִפְרָט וּמִפְּ֒רָט שֶׁהוּא צָרִיךְ לִכְלָל, כָּל דָּבָר שֶׁהָיָה בִּכְלָל וְיָצָא מִן הַכְּ֒לָל לְלַמֵּד לֹא לְלַמֵּד עַל עַצְמוֹ יָצָא אֶלָּא לְלַמֵּד עַל הַכְּ֒לָל כֻּלּוֹ יָצָא, כָּל דָּבָר שֶׁהָיָה בִּכְלָל וְיָצָא לִטְעֹן טֹֽעַן אֶחָד שֶׁהוּא כְעִנְיָנוֹ יָצָא לְהָקֵל וְלֹא לְהַחֲמִיר, כָּל דָּבָר שֶׁהָיָה בִּכְלָל וְיָצָא לִטְעֹן טֹֽעַן אַחֵר שֶׁלֹּא כְעִנְיָנוֹ יָצָא לְהָקֵל וּלְהַחֲמִיר, כָּל דָּבָר שֶׁהָיָה בִּכְלָל וְיָצָא לִדּוֹן בַּדָּבָר הֶחָדָשׁ אִי אַתָּה יָכוֹל לְהַחֲזִירוֹ לִכְלָלוֹ עַד שֶׁיַּחֲזִירֶֽנּוּ הַכָּתוּב לִכְלָלוֹ בְּפֵרוּשׁ, דָּבָר הַלָּמֵד מֵעִנְיָנוֹ וְדָבָר הַלָּמֵד מִסּוֹפוֹ, וְכֵן שְׁנֵי כְתוּבִים הַמַּכְחִישִׁים זֶה אֶת זֶה עַד שֶׁיָּבֹא הַכָּתוּב הַשְּׁ֒לִישִׁי וְיַכְרִֽיעַ בֵּינֵיהֶם:
יְהִי רָצוֹן מִלְּ֒פָנֶֽיךָ יְהֹוָה אֱלֹהֵֽינוּ וֵאלֹהֵי אֲבוֹתֵֽינוּ שֶׁיִּבָּנֶה בֵּית הַמִּקְדָּשׁ בִּמְהֵרָה בְיָמֵֽינוּ וְתֵן חֶלְקֵֽנוּ בְּתוֹרָתֶֽךָ: וְשָׁם נַעֲבָדְךָ בְּיִרְאָה כִּימֵי עוֹלָם וּכְשָׁנִים קַדְמוֹנִיּוֹת:
מה שאנו אומרין הקדיש בלשון תרגום, יש אומרים מפני המלאכים שלא יתקנאו בנו שאנו משבחים שבח נאה כזה ואם יבינו המלאכים זה יקטרגו עלינו, על כן אומרים אותו בלשון שלא יבינו, שאינן מכירין ארמית. ויש מפרשים הטעם לפי שהיו רגילין לומר אותו אחר הדרשה והיו שם עמי הארץ שאינן מכירין אלא ארמית שהוא לשונם לכן נהגו לאומרו בלשון שהכל מבינין בו (ע"פ טור או"ח נו)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 שְׁמַיָּא וְחַיִּים טוֹבִים עָלֵֽינוּ וְעַל כָּל יִשְׂרָאֵל וְאִמְרוּ אָמֵן:
עוֹשֶׂה שָׁלוֹם (בעשי"ת הַשָּׁלוֹם) בִּמְרוֹמָיו הוּא בְּרַחֲמָיו יַעֲשֶׂה שָׁלוֹם עָלֵֽינוּ וְעַל כָּל יִשְׂרָאֵל וְאִמְרוּ אָמֵן:</t>
        </is>
      </c>
      <c r="F333" s="10" t="inlineStr"/>
      <c r="G333" s="14" t="inlineStr">
        <is>
          <t>Siddur Sefard, Weekday Shacharit, B'raita d'Rabi Yishmael</t>
        </is>
      </c>
      <c r="H333" s="12" t="inlineStr">
        <is>
          <t>The Metsudah siddur, 1981 — CC-BY</t>
        </is>
      </c>
      <c r="I333" s="12" t="inlineStr">
        <is>
          <t>sefaria-siddur-sefard-weekday-shacharit-b-raita-d-rabi-yishmael</t>
        </is>
      </c>
    </row>
    <row r="334" ht="409" customHeight="1">
      <c r="A334" s="7">
        <f>IF(LEN(TRIM(F334))=0,"Approved","Comment to address")</f>
        <v/>
      </c>
      <c r="B334" s="8" t="inlineStr">
        <is>
          <t>Hodu</t>
        </is>
      </c>
      <c r="C334" s="8" t="inlineStr">
        <is>
          <t>daily</t>
        </is>
      </c>
      <c r="D334" s="8" t="inlineStr">
        <is>
          <t>Nusach Sefard</t>
        </is>
      </c>
      <c r="E334" s="9" t="inlineStr">
        <is>
          <t>דרש ר' שמלאי לעולם יסדר אדם שבחו של מקום ואחרי כן יתפלל. לפיכך תקנו לומר 'פסוקי דזמרה' קודם תפלה. וקבעו ברכה אחת לפניהם ואחת לאחריהם, והן ברכות 'ברוך שאמר' ו'ישתבח'. וצריך ליזהר שלא להפסיק ביניהם בדיבור. ויש מקומות שנוהגין לומר 'הודו לה' קראו בשמו' כאשר הוא כתוב בדברי הימים, לפי שדוד קבעו לאומרו בכל יום לפני הארון. ויש שמוסיפים עוד פסוקים אחרים, וכל מקום ומקום כמנהגו (ע"פ טור או"ח נ"א)
הוֹדוּ לַיהוָֹה קִרְאוּ בִשְׁמוֹ הוֹדִֽיעוּ בָעַמִּים עֲלִילֹתָיו: שִֽׁירוּ לוֹ זַמְּ֒רוּ־לוֹ שִֽׂיחוּ בְּכָל־נִפְלְ֒אוֹתָיו: הִתְהַלְּ֒לוּ בְּשֵׁם קָדְשׁוֹ יִשְׂמַח לֵב מְבַקְשֵׁי יְהֹוָה: דִּרְשׁוּ יְהֹוָה וְעֻזּוֹ בַּקְּ֒שׁוּ פָנָיו תָּמִיד: זִכְרוּ נִפְלְ֒אֹתָיו אֲשֶׁר עָשָׂה מֹפְ֒תָיו וּמִשְׁפְּ֒טֵי־פִֽיהוּ: זֶֽרַע יִשְׂרָאֵל עַבְדּוֹ בְּנֵי יַעֲקֹב בְּחִירָיו: הוּא יְהֹוָה אֱלֹהֵֽינוּ בְּכָל־הָאָֽרֶץ מִשְׁפָּטָיו: זִכְרוּ לְעוֹלָם בְּרִיתוֹ דָּבָר צִוָּה לְאֶֽלֶף דּוֹר: אֲשֶׁר כָּרַת אֶת־אַבְרָהָם וּשְׁבוּעָתוֹ לְיִצְחָק: וַיַּעֲמִידֶֽהָ לְיַעֲקֹב לְחֹק לְיִשְׂרָאֵל בְּרִית עוֹלָם: לֵאמֹר לְךָ אֶתֵּן אֶֽרֶץ־כְּנָעַן חֶֽבֶל נַחֲלַתְכֶם: בִּהְיוֹתְ֒כֶם מְתֵי מִסְפָּר כִּמְעַט וְגָרִים בָּהּ: וַיִּתְהַלְּ֒כוּ מִגּוֹי אֶל־גּוֹי וּמִמַּמְלָכָה אֶל־עַם אַחֵר: לֹא־הִנִּֽיחַ לְאִישׁ לְעָשְׁקָם וַיּֽוֹכַח עֲלֵיהֶם מְלָכִים: אַל־תִּגְּ֒עוּ בִּמְשִׁיחָי וּבִנְבִיאַי אַל־תָּרֵֽעוּ: שִֽׁירוּ לַיהוָֹה כָּל־הָאָֽרֶץ בַּשְּׂ֒רוּ מִיּוֹם־אֶל־יוֹם יְשׁוּעָתוֹ: סַפְּ֒רוּ בַגּוֹיִם אֶת־כְּבוֹדוֹ בְּכָל־הָעַמִּים נִפְלְאֹתָיו: כִּי גָדוֹל יְהֹוָה וּמְהֻלָּל מְאֹד וְנוֹרָא הוּא עַל־כָּל־אֱלֹהִים: כִּי כָּל־אֱלֹהֵי הָעַמִּים אֱלִילִים וַיהוָֹה שָׁמַֽיִם עָשָׂה:
הוֹד וְהָדָר לְפָנָיו עֹז וְחֶדְוָה בִּמְקֹמוֹ: הָבוּ לַיהוָֹה מִשְׁפְּ֒חוֹת עַמִּים הָבוּ לַיהוָֹה כָּבוֹד וָעֹז: הָבוּ לַיהוָֹה כְּבוֹד שְׁמוֹ שְׂאוּ מִנְחָה וּבֹֽאוּ לְפָנָיו הִשְׁתַּחֲווּ לַיהוָֹה בְּהַדְרַת־קֹֽדֶשׁ: חִֽילוּ מִלְּ֒פָנָיו כָּל־הָאָֽרֶץ אַף־תִּכּוֹן תֵּבֵל בַּל־תִּמּוֹט: יִשְׂמְחוּ הַשָּׁמַֽיִם וְתָגֵל הָאָֽרֶץ וְיֹאמְ֒רוּ בַגּוֹיִם יְהֹוָה מָלָךְ: יִרְעַם הַיָּם וּמְלוֹאוֹ יַעֲלֹץ הַשָּׂדֶה וְכָל־אֲשֶׁר־בּוֹ: אָז יְרַנְּ֒נוּ עֲצֵי הַיָּעַר מִלִּפְנֵי יְהֹוָה כִּי־בָא לִשְׁפּוֹט אֶת־הָאָֽרֶץ: הוֹדוּ לַיהוָֹה כִּי טוֹב כִּי לְעוֹלָם חַסְדּוֹ: וְאִמְרוּ הוֹשִׁיעֵֽנוּ אֱלֹהֵי יִשְׁעֵֽנוּ וְקַבְּ֒צֵֽנוּ וְהַצִּילֵֽנוּ מִן־הַגּוֹיִם לְהוֹדוֹת לְשֵׁם קָדְשֶֽׁךָ לְהִשְׁתַּבֵּֽחַ בִּתְהִלָּתֶֽךָ: בָּרוּךְ יְהֹוָה אֱלֹהֵי יִשְׂרָאֵל מִן־הָעוֹלָם וְעַד הָעֹלָם וַיֹּאמְ֒רוּ כָל־הָעָם אָמֵן וְהַלֵּל לַיהוָֹה:
רוֹמְ֒מוּ יְהֹוָה אֱלֹהֵֽינוּ וְהִשְׁתַּחֲווּ לַהֲדֹם רַגְלָיו קָדוֹשׁ הוּא: רוֹמְ֒מוּ יְהֹוָה אֱלֹהֵֽינוּ וְהִשְׁתַּחֲווּ לְהַר קָדְשׁוֹ כִּי קָדוֹשׁ יְהֹוָה אֱלֹהֵֽינוּ:
וְהוּא רַחוּם יְכַפֵּר עָוֹן וְלֹא־יַשְׁחִית וְהִרְבָּה לְהָשִׁיב אַפּוֹ וְלֹא־יָעִיר כָּל־חֲמָתוֹ: אַתָּה יְהֹוָה לֹא־תִכְלָא רַחֲמֶֽיךָ מִמֶּֽנִּי חַסְדְּ֒ךָ וַאֲמִתְּ֒ךָ תָּמִיד יִצְּ֒רֽוּנִי: זְכֹר רַחֲמֶֽיךָ יְהֹוָה וַחֲסָדֶֽיךָ כִּי מֵעוֹלָם הֵֽמָּה: תְּנוּ עֹז לֵאלֹהִים עַל־יִשְׂרָאֵל גַּאֲוָתוֹ וְעֻזּוֹ בַּשְּׁ֒חָקִים: נוֹרָא אֱלֹהִים מִמִּקְדָּשֶֽׁיךָ אֵל יִשְׂרָאֵל הוּא נֹתֵן עֹז וְתַעֲצֻמוֹת לָעָם בָּרוּךְ אֱלֹהִים: אֵל־נְקָמוֹת יְהֹוָה אֵל נְקָמוֹת הוֹפִֽיעַ: הִנָּשֵׂא שֹׁפֵט הָאָֽרֶץ הָשֵׁב גְּמוּל עַל־גֵּאִים: לַיהוָֹה הַיְשׁוּעָה עַל־עַמְּ֒ךָ בִרְכָתֶֽךָ סֶּֽלָה: יְהֹוָה צְבָאוֹת עִמָּנוּ מִשְׂגָּב לָֽנוּ אֱלֹהֵי יַעֲקֹב סֶֽלָה: יְהֹוָה צְבָאוֹת אַשְׁרֵי אָדָם בֹּטֵֽחַ בָּךְ: יְהֹוָה הוֹשִֽׁיעָה הַמֶּֽלֶךְ יַעֲנֵֽנוּ בְיוֹם־קָרְאֵֽנוּ:
הוֹשִֽׁיעָה אֶת־עַמֶּֽךָ וּבָרֵךְ אֶת־נַחֲלָתֶֽךָ וּרְעֵם וְנַשְּׂ֒אֵם עַד־הָעוֹלָם: נַפְשֵֽׁנוּ חִכְּ֒תָה לַיהוָֹה עֶזְרֵֽנוּ וּמָגִנֵּֽנוּ הוּא: כִּי־בוֹ יִשְׂמַח לִבֵּֽנוּ כִּי בְשֵׁם קָדְשׁוֹ בָטָֽחְנוּ: יְהִי־חַסְדְּ֒ךָ יְהֹוָה עָלֵֽינוּ כַּאֲשֶׁר יִחַֽלְנוּ לָךְ: הַרְאֵֽנוּ יְהֹוָה חַסְדֶּֽךָ וְיֶשְׁעֲךָ תִּֽתֶּן־לָֽנוּ: קֽוּמָה עֶזְרָֽתָה לָּנוּ וּפְ֒דֵֽנוּ לְמַֽעַן חַסְדֶּֽךָ: אָנֹכִי יְהֹוָה אֱלֹהֶֽיךָ הַמַּעַלְךָ מֵאֶֽרֶץ מִצְרָֽיִם הַרְחֶב־פִּֽיךָ וַאֲמַלְאֵֽהוּ: אַשְׁרֵי הָעָם שֶׁכָּֽכָה לּוֹ אַשְׁרֵי הָעָם שֶׁיְהֹוָה אֱלֹהָיו: וַאֲנִי בְּחַסְדְּ֒ךָ בָטַֽחְתִּי יָגֵל לִבִּי בִּישׁוּעָתֶֽךָ אָשִֽׁירָה לַיהוָֹה כִּי גָמַל עָלָי:
מזמור זה אמרו שלמה בשעה שהכניס הארון לבית קודש הקודשים, ולא נענה עד שהזכיר זכות דוד. ולפי שכל פסוקי דזמרה הם פסוקי דוד המלך, לפיכך הקדימו מקודם מזמור זה שבו נגלה צדקתו (ערוה"ש נ, ד)
מִזְמוֹר שִׁיר־חֲנֻכַּת הַבַּֽיִת לְדָוִד: אֲרוֹמִמְךָ יְהֹוָה כִּי דִלִּיתָֽנִי וְלֹא־שִׂמַּֽחְתָּ אֹיְ֒בַי לִי: יְהֹוָה אֱלֹהָי שִׁוַּעְתִּי אֵלֶֽיךָ וַתִּרְפָּאֵֽנִי: יְהֹוָה הֶעֱלִֽיתָ מִן־שְׁאוֹל נַפְשִׁי חִיִּיתַֽנִי מִיָּרְ֒דִי־בוֹר: זַמְּ֒רוּ לַיהוָֹה חֲסִידָיו וְהוֹדוּ לְזֵֽכֶר קָדְשׁוֹ: כִּי רֶֽגַע בְּאַפּוֹ חַיִּים בִּרְצוֹנוֹ בָּעֶֽרֶב יָלִין בֶּֽכִי וְלַבֹּֽקֶר רִנָּה: וַאֲנִי אָמַֽרְתִּי בְשַׁלְוִי בַּל־אֶמּוֹט לְעוֹלָם: יְהֹוָה בִּרְצוֹנְ֒ךָ הֶעֱמַֽדְתָּה לְהַרְרִי עֹז הִסְתַּֽרְתָּ פָנֶֽיךָ הָיִֽיתִי נִבְהָל: אֵלֶֽיךָ יְהֹוָה אֶקְרָא וְאֶל־אֲדֹנָי אֶתְחַנָּן: מַה־בֶּֽצַע בְּדָמִי בְּרִדְתִּי אֶל שָֽׁחַת הֲיוֹדְ֒ךָ עָפָר הֲיַגִּיד אֲמִתֶּֽךָ: שְׁמַע יְהֹוָה וְחָנֵּֽנִי יְהֹוָה הֱיֵה־עֹזֵר לִי: הָפַֽכְתָּ מִסְפְּדִי לְמָחוֹל לִי פִּתַּחְתָּ שַׂקִּי וַתְּ֒אַזְּ֒רֵֽנִי שִׂמְחָה: לְמַֽעַן יְזַמֶּרְךָ כָבוֹד וְלֹא יִדֹּם יְהֹוָה אֱלֹהַי לְעוֹלָם אוֹדֶֽךָּ:
יְהוָֹה מֶֽלֶךְ, יְהוָֹה מָלָֽךְ, יְהוָֹה יִמְלֹךְ, לְעֹלָם וָעֶד: יְהוָֹה מֶֽלֶךְ, יְהוָֹה מָלָֽךְ, יְהוָֹה יִמְלֹךְ, לְעֹלָם וָעֶד: וְהָיָה יְהוָֹה לְמֶֽלֶךְ עַל־כָּל־הָאָֽרֶץ, בַּיּוֹם הַהוּא יִהְיֶה יְהוָֹה אֶחָד, וּשְׁמוֹ אֶחָד:
הֽוֹשִׁיעֵֽנוּ יְהוָֹה אֱלֹהֵֽינוּ, וְקַבְּ֒צֵֽנוּ מִן־הַגּוֹיִם לְהוֹדוֹת לְשֵׁם קָדְשֶֽׁךָ, לְהִשְׁתַּבֵּֽחַ בִּתְהִלָּתֶֽךָ: בָּרוּךְ יְהוָֹה אֱלֹהֵי יִשְׂרָאֵל, מִן־הָֽעוֹלָם וְעַד הָֽעוֹלָם, וְאָמַר כָּל־הָעָם אָמֵן, הַֽלְ֒לוּיָהּ: כֹּל הַנְּ֒שָׁמָה תְּהַלֵּל יָהּ, הַֽלְ֒לוּיָהּ:
לַמְנַצֵּֽחַ בִּנְגִינֹת מִזְמוֹר שִׁיר: אֱלֹהִים יְחָנֵּֽנוּ וִיבָרְ֒כֵֽנוּ יָאֵר פָּנָיו אִתָּֽנוּ סֶֽלָה: לָדַֽעַת בָּאָֽרֶץ דַּרְכֶּֽךָ בְּכָל־גּוֹיִם יְשׁוּעָתֶֽךָ: יוֹדֽוּךָ עַמִּים אֱלֹהִים יוֹדֽוּךָ עַמִּים כֻּלָּם: יִשְׂמְחוּ וִירַנְּ֒נוּ לְאֻמִּים כִּי־תִשְׁפֹּט עַמִּים מִישֹׁר וּלְאֻמִּים בָּאָֽרֶץ תַּנְחֵם סֶֽלָה: יוֹדֽוּךָ עַמִּים אֱלֹהִים יוֹדוּךָ עַמִּים כֻּלָּם: אֶֽרֶץ נָתְ֒נָה יְבוּלָהּ יְבָרְ֒כֵֽנוּ אֱלֹהִים אֱלֹהֵֽינוּ: יְבָֽרְ֒כֵֽנוּ אֱלֹהִים וְיִירְ֒אוּ אוֹתוֹ כָּל־אַפְסֵי־אָֽרֶץ:
ברוך שאמר צריך לאומרו בניגון ובנעימה כי הוא שיר נאה ונחמד. וכתב בספר היכלות שיש בו פ"ז תיבות וסי' ראשו כתם פז (טור או"ח נא)
בָּרוּךְ שֶׁאָמַר וְהָיָה הָעוֹלָם, בָּרוּךְ הוּא, בָּרוּךְ עֹשֶׂה בְרֵאשִׁית, בָּרוּךְ אוֹמֵר וְעוֹשֶׂה, בָּרוּךְ גּוֹזֵר וּמְקַיֵּם, בָּרוּךְ מְרַחֵם עַל הָאָֽרֶץ, בָּרוּךְ מְרַחֵם עַל הַבְּ֒רִיּוֹת, בָּרוּךְ מְשַׁלֵּם שָׂכָר טוֹב לִירֵאָיו, בָּרוּךְ חַי לָעַד וְקַיָּם לָנֶֽצַח, בָּרוּךְ פּוֹדֶה וּמַצִּיל, בָּרוּךְ שְׁמוֹ: בָּרוּךְ אַתָּה יְהֹוָה אֱלֹהֵֽינוּ מֶֽלֶךְ הָעוֹלָם הָאֵל הָאָב הָרַחֲמָן הַמְּ֒הֻלָּל בְּפֶה עַמּוֹ מְשֻׁבָּח וּמְפֹאָר בִּלְשׁוֹן חֲסִידָיו וַעֲבָדָיו וּבְשִׁירֵי דָוִד עַבְדֶּֽךָ, נְהַלֶּלְךָ יְהֹוָה אֱלֹהֵֽינוּ בִּשְׁבָחוֹת וּבִזְמִירוֹת נְגַדֶּלְךָ וּנְשַׁבֵּחֲךָ וּנְפָאֶרְךָ וְנַזְכִּיר שִׁמְךָ וְנַמְלִיכְךָ מַלְכֵּֽנוּ אֱלֹהֵֽינוּ, יָחִיד, חֵי הָעוֹלָמִים מֶֽלֶךְ מְשֻׁבָּח וּמְפֹאָר עֲדֵי עַד שְׁמוֹ הַגָּדוֹל: בָּרוּךְ אַתָּה יְהֹוָה מֶֽלֶךְ מְהֻלָּל בַּתִּשְׁבָּחוֹת:
מזמור לתודה יש לאומרו בנגינה שכל השירות עתידות ליבטל חוץ ממזמור לתודה (ראה ויק"ר ט,ז). ואין אומרים מזמור לתודה בשבת ויו"ט, או בימי פסח שאין תודה קריבה בהם משום חמץ, ולא בערב פסח.
מִזְמוֹר לְתוֹדָה הָרִֽיעוּ לַיהוָֹה כָּל־הָאָֽרֶץ: עִבְדוּ אֶת יְהֹוָה בְּשִׂמְחָה בֹּֽאוּ לְפָנָיו בִּרְנָנָה: דְּעוּ כִּי־יְהֹוָה הוּא אֱלֹהִים הוּא עָשָֽׂנוּ וְלוֹ (וְלֹא) אֲנַֽחְנוּ עַמּוֹ וְצֹאן מַרְעִיתוֹ: בֹּֽאוּ שְׁעָרָיו בְּתוֹדָה חֲצֵרֹתָיו בִּתְהִלָּה הֽוֹדוּ לוֹ בָּרְ֒כוּ שְׁמוֹ: כִּי־טוֹב יְהֹוָה לְעוֹלָם חַסְדּוֹ וְעַד־דֹּר וָדֹר אֱמוּנָתוֹ:
שמונה עשר פסוקי יהי כבוד כנגד שמונה עשרה ברכות דשמונה עשרה. ולפיכך הכניסום בתוך פסוקי דזמרה. (ערוך השולחן, אורח חיים נ, ד)
יְהִי כְבוֹד יְהֹוָה לְעוֹלָם יִשְׂמַח יְהֹוָה בְּמַעֲשָׂיו: יְהִי שֵׁם יְהֹוָה מְבֹרָךְ מֵעַתָּה וְעַד־עוֹלָם: מִמִּזְרַח־שֶֽׁמֶשׁ עַד־מְבוֹאוֹ מְהֻלָּל שֵׁם יְהֹוָה: רָם עַל־כָּל־גּוֹיִם יְהֹוָה עַל הַשָּׁמַֽיִם כְּבוֹדוֹ: יְהֹוָה שִׁמְךָ לְעוֹלָם יְהֹוָה זִכְרְ֒ךָ לְדֹר־וָדֹר: יְהֹוָה בַּשָּׁמַֽיִם הֵכִין כִּסְאוֹ וּמַלְכוּתוֹ בַּכֹּל מָשָֽׁלָה: יִשְׂמְחוּ הַשָּׁמַֽיִם וְתָגֵל הָאָֽרֶץ וְיֹאמְ֒רוּ בַגּוֹיִם יְהֹוָה מָלָךְ: יְהֹוָה מֶֽלֶךְ יְהֹוָה מָלָךְ יְהֹוָה יִמְלֹךְ לְעֹלָם וָעֶד: יְהֹוָה מֶֽלֶךְ עוֹלָם וָעֶד אָבְ֒דוּ גוֹיִם מֵאַרְצוֹ: יְהֹוָה הֵפִיר עֲצַת־גּוֹיִם הֵנִיא מַחְשְׁבוֹת עַמִּים: רַבּוֹת מַחֲשָׁבוֹת בְּלֶב־אִישׁ וַעֲצַת יְהֹוָה הִיא תָקוּם: עֲצַת יְהֹוָה לְעוֹלָם תַּעֲמֹד מַחְשְׁבוֹת לִבּוֹ לְדֹר וָדֹר: כִּי הוּא אָמַר וַיֶּֽהִי הוּא־צִוָּה וַיַּעֲמֹד: כִּי בָחַר יְהֹוָה בְּצִיּוֹן אִוָּהּ לְמוֹשָׁב לוֹ: כִּי־יַעֲקֹב בָּחַר לוֹ יָהּ יִשְׂרָאֵל לִסְגֻלָּתוֹ: כִּי לֹא יִטּשׁ יְהֹוָה עַמּוֹ וְנַחֲלָתוֹ לֹא יַעֲזֹב: וְהוּא רַחוּם יְכַפֵּר עָוֹן וְלֹא־יַשְׁחִית וְהִרְבָּה לְהָשִׁיב אַפּוֹ וְלֹא־יָעִיר כָּל־חֲמָתוֹ: יְהֹוָה הוֹשִׁיעָה הַמֶּֽלֶךְ יַעֲנֵֽנוּ בְיוֹם־קָרְאֵֽנוּ:
צריך לכוין בתהלה לדוד דא"ר אלעזר כל האומר תהלה לדוד בכל יום ג"פ מובטח לו שהוא בן העולם הבא. ויותר יכוין בפסוק פותח את ידך, שעיקר מה שקבעוהו לומר בכל יום הוא בשביל אותו פסוק, שמזכיר בו שבחו של הקב"ה שמשגיח על בריותיו ומפרנסן. ונהגו לומר קודם לכן אשרי יושבי ביתך משום דילפינן מיניה שצריך אדם לישב שעה אחת קודם שיתפלל. ואחריו נהגו לומר ואנחנו נברך יה (טור, אורח חיים נ"א)
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
זה המזמור מעורר לאדם לעשות תשובה ומעשים טובים בחיים חיותו בעוד שיש נשמתו בו ואל יבטח בבני אדם שאינם יכולים להושיע לעצמם כי בפתע פתאום תצא רוחם מהם לכך מן הראוי לבטוח בהקב"ה שבידו לקיים מה שרוצה לעשות.
הַלְ֒לוּיָהּ הַלְ֒לִי נַפְשִׁי אֶת־יְהֹוָה: אֲהַלְ֒לָה יְהֹוָה בְּחַיָּי אֲזַמְּ֒רָה לֵאלֹהַי בְּעוֹדִי: אַל־תִּבְטְחוּ בִנְדִיבִים בְּבֶן־אָדָם שֶׁאֵין לוֹ תְשׁוּעָה: תֵּצֵא רוּחוֹ יָשֻׁב לְאַדְמָתוֹ בַּיּוֹם הַהוּא אָבְ֒דוּ עֶשְׁתֹּנֹתָיו: אַשְׁרֵי שֶׁאֵל יַעֲקֹב בְּעֶזְרוֹ, שִׂבְרוֹ עַל־יְהֹוָה אֱלֹהָיו: עֹשֶׂה שָׁמַֽיִם וָאָֽרֶץ אֶת־הַיָּם וְאֶת־כָּל־אֲשֶׁר־בָּם, הַשֹּׁמֵר אֱמֶת לְעוֹלָם: עֹשֶׂה מִשְׁפָּט לַעֲשׁוּקִים נֹתֵן לֶֽחֶם לָרְ֒עֵבִים יְהֹוָה מַתִּיר אֲסוּרִים: יְהֹוָה פֹּקֵֽחַ עִוְרִים יְהֹוָה זֹקֵף כְּפוּפִים יְהֹוָה אֹהֵב צַדִּיקִים: יְהֹוָה שֹׁמֵר אֶת־גֵּרִים יָתוֹם וְאַלְמָנָה יְעוֹדֵד וְדֶֽרֶךְ רְשָׁעִים יְעַוֵּת: יִמְלֹךְ יְהֹוָה לְעוֹלָם אֱלֹהַֽיִךְ צִיּוֹן לְדֹר וָדֹר הַלְ֒לוּיָהּ:
המזמור הזה מדבר מן הגאולה העתידה במהרה בימינו
הַלְ֒לוּיָהּ כִּי־טוֹב זַמְּ֒רָה אֱלֹהֵֽינוּ, כִּי־נָעִים נָאוָה תְהִלָּה: בּוֹנֵה יְרוּשָׁלַֽםִ יְהֹוָה נִדְחֵי יִשְׂרָאֵל יְכַנֵּס: הָרוֹפֵא לִשְׁבֽוּרֵי לֵב וּמְחַבֵּשׁ לְעַצְּ֒בוֹתָם: מוֹנֶה מִסְפָּר לַכּוֹכָבִים לְכֻלָּם שֵׁמוֹת יִקְרָא: גָּדוֹל אֲדוֹנֵֽינוּ וְרַב־כֹּֽחַ לִתְבוּנָתוֹ אֵין מִסְפָּר: מְעוֹדֵד עֲנָוִים יְהֹוָה מַשְׁפִּיל רְשָׁעִים עֲדֵי־אָֽרֶץ: עֱנוּ לַיהוָֹה בְּתוֹדָה זַמְּ֒רוּ לֵאלֹהֵֽינוּ בְכִנּוֹר: הַמְכַסֶּה שָׁמַֽיִם בְּעָבִים הַמֵּכִין לָאָֽרֶץ מָטָר הַמַּצְמִֽיחַ הָרִים חָצִיר: נוֹתֵן לִבְהֵמָה לַחְמָהּ לִבְנֵי עֹרֵב אֲשֶׁר יִקְרָֽאוּ: לֹא בִגְבוּרַת הַסּוּס יֶחְפָּץ לֹא בְשׁוֹקֵי הָאִישׁ יִרְצֶה: רוֹצֶה יְהֹוָה אֶת־יְרֵאָיו אֶת־הַמְ֒יַחֲלִים לְחַסְדּוֹ: שַׁבְּ֒חִי יְרוּשָׁלַֽםִ אֶת יְהֹוָה הַלְ֒לִי אֱלֹהַֽיִךְ צִיּוֹן: כִּי־חִזַּק בְּרִיחֵי שְׁעָרָֽיִךְ בֵּרַךְ בָּנַֽיִךְ בְּקִרְבֵּךְ: הַשָּׂם־גְּבוּלֵךְ שָׁלוֹם חֵֽלֶב חִטִּים יַשְׂבִּיעֵךְ: הַשֹּׁלֵֽחַ אִמְרָתוֹ אָֽרֶץ עַד־מְהֵרָה יָרוּץ דְּבָרוֹ: הַנֹּתֵן שֶֽׁלֶג כַּצָּֽמֶר כְּפוֹר כָּאֵֽפֶר יְפַזֵּר: מַשְׁלִיךְ קַרְחוֹ כְפִתִּים לִפְנֵי קָרָתוֹ מִי יַעֲמֹד: יִשְׁלַח דְּבָרוֹ וְיַמְסֵם יַשֵּׁב רוּחוֹ יִזְּ֒לוּ־מָֽיִם: מַגִּיד דְּבָרָיו לְיַעֲקֹב חֻקָּיו וּמִשְׁפָּטָיו לְיִשְׂרָאֵל: לֹא עָֽשָׂה כֵן לְכָל־גּוֹי וּמִשְׁפָּטִים בַּל־יְדָעוּם הַלְ֒לוּיָהּ:
בפרק זה התחיל המשורר מעולם הגדול ועד עולם הקטן עיין נוראים מבריאת הקב"ה העליונים והתחתונים כולם עומדים בכוחו
הַלְ֒לוּיָהּ הַלְ֒לוּ אֶת־יְהֹוָה מִן הַשָּׁמַֽיִם הַלְ֒לֽוּהוּ בַּמְּ֒רוֹמִים: הַלְ֒לֽוּהוּ כָּל־מַלְאָכָיו הַלְ֒לֽוּהוּ כָּל־צְבָאָיו: הַלְ֒לֽוּהוּ שֶֽׁמֶשׁ וְיָרֵֽחַ הַלְ֒לֽוּהוּ כָּל־כּֽוֹכְ֒בֵי אוֹר: הַלְ֒לֽוּהוּ שְׁמֵי הַשָּׁמָֽיִם וְהַמַּֽיִם אֲשֶׁר מֵעַל הַשָּׁמָֽיִם: יְהַלְ֒לוּ אֶת־שֵׁם יְהֹוָה כִּי הוּא צִוָּה וְנִבְרָֽאוּ: וַיַּעֲמִידֵם לָעַד לְעוֹלָם חָק־נָתַן וְלֹא יַעֲבוֹר: הַלְ֒לוּ אֶת־יְהֹוָה מִן־הָאָֽרֶץ תַּנִּינִים וְכָל־תְּהֹמוֹת: אֵשׁ וּבָרָד שֶֽׁלֶג וְקִיטוֹר רֽוּחַ סְעָרָה עֹשָׂה דְבָרוֹ: הֶהָרִים וְכָל־גְּבָעוֹת עֵץ פְּרִי וְכָל־אֲרָזִים: הַחַיָּה וְכָל־בְּהֵמָה רֶֽמֶשׂ וְצִפּוֹר כָּנָף: מַלְכֵי־אֶֽרֶץ וְכָל־לְאֻמִּים שָׂרִים וְכָל־שֹׁפְטֵי אָֽרֶץ: בַּחוּרִים וְגַם־בְּתוּלוֹת זְקֵנִים עִם־נְעָרִים: יְהַלְ֒לוּ אֶת־שֵׁם יְהֹוָה כִּי־נִשְׂגָּב שְׁמוֹ לְבַדּוֹ הוֹדוֹ עַל־אֶֽרֶץ וְשָׁמָֽיִם: וַיָּֽרֶם קֶֽרֶן לְעַמּוֹ תְּהִלָּה לְכָל־חֲסִידָיו לִבְנֵי יִשְׂרָאֵל עַם קְרֹבוֹ הַלְ֒לוּיָהּ:
המזמור הזה מדבר לעתיד בביאת משיחנו
הַלְ֒לוּיָהּ שִֽׁירוּ לַיהוָֹה שִׁיר חָדָשׁ תְּהִלָּתוֹ בִּקְהַל חֲסִידִים: יִשְׂמַח יִשְׂרָאֵל בְּעֹשָׂיו בְּנֵי־צִיּוֹן יָגִֽילוּ בְמַלְכָּם: יְהַלְ֒לוּ שְׁמוֹ בְמָחוֹל בְּתֹף וְכִנּוֹר יְזַמְּ֒רוּ־לוֹ: כִּי־רוֹצֶה יְהֹוָה בְּעַמּוֹ יְפָאֵר עֲנָוִים בִּישׁוּעָה: יַעְלְזוּ חֲסִידִים בְּכָבוֹד יְרַנְּ֒נוּ עַל־מִשְׁכְּבוֹתָם: רוֹמְ֒מוֹת אֵל בִּגְרוֹנָם וְחֶֽרֶב פִּיפִיּוֹת בְּיָדָם: לַעֲשׂוֹת נְקָמָה בַגּוֹיִם תּוֹכֵחוֹת בַּלְאֻמִּים: לֶאְסֹר מַלְכֵיהֶם בְּזִקִּים וְנִכְבְּדֵיהֶם בְּכַבְלֵי בַרְזֶל: לַעֲשׂוֹת בָּהֶם מִשְׁפָּט כָּתוּב הָדָר הוּא לְכָל־חֲסִידָיו הַלְ֒לוּיָהּ:
במזמור הזה יש שלשה עשר הלולים. רמז לי"ג מדות.
הַלְ֒לוּיָהּ הַֽלְ֒לוּ־אֵל בְּקָדְשׁוֹ הַלְ֒לֽוּהוּ בִּרְקִֽיעַ עֻזּוֹ: הַלְ֒לֽוּהוּ בִּגְבוּרֹתָיו הַלְ֒לֽוּהוּ כְּרֹב גֻּדְלוֹ: הַלְ֒לֽוּהוּ בְּתֵֽקַע שׁוֹפָר הַלְ֒לֽוּהוּ בְּנֵֽבֶל וְכִנּוֹר: הַלְ֒לֽוּהוּ בְּתֹף וּמָחוֹל הַלְ֒לֽוּהוּ בְּמִנִּים וְעֻגָב: הַלְ֒לֽוּהוּ בְצִלְצְלֵי־שָֽׁמַע הַלְ֒לֽוּהוּ בְּצִלְצְלֵי תְרוּעָה: כֹּל הַנְּ֒שָׁמָה תְּהַלֵּל יָהּ הַלְ֒לוּיָהּ: כֹּל הַנְּ֒שָׁמָה תְּהַלֵּל יָהּ הַלְ֒לוּיָהּ:
קבעו פסוקים אלו אחר כל הנשמה משום שאלו הכתובים מצינו אותם כתובים בסוף ספרי תהלים. לכן תקנו לאמרם בהשלמת פסוקי דזמרה (א"ר סי' נ"א)
בָּרוּךְ יְהֹוָה לְעוֹלָם אָמֵן וְאָמֵן: בָּרוּךְ יְהֹוָה מִצִּיּוֹן שֹׁכֵן יְרוּשָׁלָֽםִ הַלְ֒לוּיָהּ: בָּרוּךְ יְהֹוָה אֱלֹהִים אֱלֹהֵי יִשְׂרָאֵל עֹשֵׂה נִפְלָאוֹת לְבַדּוֹ: וּבָרוּךְ שֵׁם כְּבוֹדוֹ לְעוֹלָם וְיִמָּלֵא כְבוֹדוֹ אֶת־כָּל־הָאָֽרֶץ אָמֵן וְאָמֵן:
הטעם שנהגו לומר ויברך דוד ושירת הים לפי שכל אותם חמשה עשר לשונות של שבח הסדורין בברכת ישתבח דורש במכלתין מתוך שירת הים ומתוך פסוקים של ויברך דוד (אבודרהם). כשמגיע לואתה מושל בכל יתן ג' פרוטות לצדקה הב׳ בבת אחת ואח״כ השלישית וסודם נשגב (צפורן שמיר)
בויברך דויד יעמוד עד שיאמר אתה הוא ה' האלהים ועד בכלל
וַיְבָֽרֶךְ דָּוִיד אֶת־יְהֹוָה לְעֵינֵי כָּל־הַקָּהָל וַיֹּֽאמֶר דָּוִיד בָּרוּךְ אַתָּה יְהֹוָה אֱלֹהֵי יִשְׂרָאֵל אָבִֽינוּ, מֵעוֹלָם וְעַד־עוֹלָם: לְךָ יְהֹוָה הַגְּ֒דֻלָּה וְהַגְּ֒בוּרָה וְהַתִּפְאֶֽרֶת וְהַנֵּֽצַח וְהַהוֹד כִּי־כֹל בַּשָּׁמַֽיִם וּבָאָֽרֶץ לְךָ יְהֹוָה הַמַּמְלָכָה וְהַמִּתְנַשֵּׂא לְכֹל לְרֹאשׁ: וְהָעֽשֶׁר וְהַכָּבוֹד מִלְּ֒פָנֶֽיךָ וְאַתָּה מוֹשֵׁל בַּכֹּל, וּבְיָדְ֒ךָ כֹּֽחַ וּגְבוּרָה, וּבְיָדְ֒ךָ לְגַדֵּל וּלְחַזֵּק לַכֹּל: וְעַתָּה אֱלֹהֵֽינוּ מוֹדִים אֲנַֽחְנוּ לָךְ וּמְהַלְ֒לִים לְשֵׁם תִּפְאַרְתֶּֽךָ: וִיבָרְכוּ שֵׁם כְּבוֹדֶךָ, וּמְרוֹמַם עַל כָּל בְּרָכָה וּתְהִלָּה:
אַתָּה־הוּא יְהֹוָה לְבַדֶּֽךָ, אַתָּה עָשִֽׂיתָ אֶת־הַשָּׁמַֽיִם שְׁמֵי הַשָּׁמַֽיִם וְכָל־צְבָאָם, הָאָֽרֶץ וְכָל־אֲשֶׁר עָלֶֽיהָ הַיַּמִּים וְכָל־אֲשֶׁר בָּהֶם, וְאַתָּה מְחַיֶּה אֶת־כֻּלָּם וּצְ֒בָא הַשָּׁמַֽיִם לְךָ מִשְׁתַּחֲוִים: אַתָּה הוּא יְהֹוָה הָאֱלֹהִים אֲשֶׁר בָּחַֽרְתָּ בְּאַבְרָם וְהוֹצֵאתוֹ מֵאוּר כַּשְׂדִּים וְשַֽׂמְתָּ שְׁמוֹ אַבְרָהָם: וּמָצָֽאתָ אֶת־לְבָבוֹ נֶאֱמָן לְפָנֶֽיךָ
וְכָרוֹת עִמּוֹ הַבְּ֒רִית לָתֵת אֶת־אֶֽרֶץ הַכְּ֒נַעֲנִי הַחִתִּי הָאֱמֹרִי וְהַפְּ֒רִזִּי וְהַיְבוּסִי וְהַגִּרְגָּשִׁי לָתֵת לְזַרְעוֹ וַתָּֽקֶם אֶת־דְּבָרֶֽיךָ כִּי צַדִּיק אָֽתָּה: וַתֵּֽרֶא אֶת־עֳנִי אֲבֹתֵֽינוּ בְּמִצְרָֽיִם וְאֶת־זַעֲקָתָם שָׁמַֽעְתָּ עַל־יַם־סוּף: וַתִּתֵּן אֹתֹת וּמֹפְ֒תִים בְּפַרְעֹה וּבְכָל־עֲבָדָיו וּבְכָל־עַם אַרְצוֹ כִּי יָדַֽעְתָּ כִּי הֵזִֽידוּ עֲלֵיהֶם וַתַּֽעַשׂ־לְךָ שֵׁם כְּהַיּוֹם הַזֶּה: וְהַיָּם בָּקַֽעְתָּ לִפְנֵיהֶם וַיַּעַבְרוּ בְתוֹךְ־הַיָּם בַּיַּבָּשָׁה וְאֶת־רֹדְ֒פֵיהֶם הִשְׁלַֽכְתָּ בִמְצוֹלֹת כְּמוֹ־אֶֽבֶן בְּמַֽיִם עַזִּים:
תקנו לומר וישע ה' ביום ההוא ושירת הים והוא זכר ליציאת מצרים. וכופלין פסוק ה' ימלוך לעולם ועד מפני שהוא סוף השירה (אבודרהם). כל האומר שירת הים בשמחה ובעצמו שיער כאלו הוא ניצול מהים ופרעה וחילו הם נטבעו ואמר שירה מכפרים לו עונותיו (צפורן שמיר)
וַיּֽוֹשַׁע יְהֹוָה בַּיּוֹם הַהוּא אֶת־יִשְׂרָאֵל מִיַּד מִצְרָֽיִם וַיַּרְא יִשְׂרָאֵל אֶת־מִצְרַֽיִם מֵת עַל־שְׂפַת הַיָּם: וַיַּרְא יִשְׂרָאֵל אֶת־הַיָּד הַגְּ֒דֹלָה אֲשֶׁר עָשָׂה יְהֹוָה בְּמִצְרַֽיִם וַיִּירְ֒אוּ הָעָם אֶת יְהֹוָה וַיַּאֲמִֽינוּ בַּיהוָֹה וּבְמשֶׁה עַבְדּוֹ:
אָז יָשִׁיר משֶׁה וּבְנֵי יִשְׂרָאֵל אֶת־הַשִּׁירָה הַזֹּאת לַיהוָֹה וַיֹּאמְרוּ לֵאמֹר אָשִֽׁירָה לַיהוָֹה כִּי־גָאֹה גָּאָה סוּס וְרֹכְ֒בוֹ רָמָה בַיָּם: עָזִּי וְזִמְרָת יָהּ וַיְ֒הִי־לִי לִישׁוּעָה זֶה אֵלִי וְאַנְוֵֽהוּ אֱלֹהֵי אָבִי וַאֲרֹמְ֒מֶֽנְהוּ: יְהֹוָה אִישׁ מִלְחָמָה יְהֹוָה שְׁמוֹ: מַרְכְּבֹת פַּרְעֹה וְחֵילוֹ יָרָה בַיָּם וּמִבְחַר שָׁלִשָׁיו טֻבְּ֒עוּ בְיַם־סוּף: תְּהֹמֹת יְכַסְיֻֽמוּ יָרְ֒דוּ בִמְצוֹלֹת כְּמוֹ־אָֽבֶן: יְמִינְ֒ךָ יְהֹוָה נֶאְדָּרִי בַּכֹּֽחַ יְמִֽינְ֒ךָ יְהֹוָה תִּרְעַץ אוֹיֵב: וּבְרֹב גְּאוֹנְ֒ךָ תַּהֲרֹס קָמֶֽיךָ תְּשַׁלַּח חֲרֹנְ֒ךָ יֹֽאכְ֒לֵמוֹ כַּקַּשׁ: וּבְרֽוּחַ אַפֶּֽיךָ נֶֽעֶרְמוּ מַֽיִם נִצְּ֒בוּ כְמוֹ־נֵד נֹזְ֒לִים קָפְ֒אוּ תְהֹמֹת בְּלֶב־יָם: אָמַר אוֹיֵב אֶרְדֹּף אַשִּׂיג אֲחַלֵּק שָׁלָל תִּמְלָאֵֽמוֹ נַפְשִׁי אָרִיק חַרְבִּי תּוֹרִישֵֽׁמוֹ יָדִי: נָשַֽׁפְתָּ בְרוּחֲךָ כִּסָּֽמוֹ יָם צָלֲלוּ כַּעוֹפֶֽרֶת בְּמַֽיִם אַדִּירִים: מִי־כָמֹֽכָה בָּאֵלִם יְהֹוָה מִי כָּמֹֽכָה נֶאְדָּר בַּקֹּֽדֶשׁ נוֹרָא תְהִלֹּת עֹֽשֵׂה־פֶֽלֶא: נָטִֽיתָ יְמִינְ֒ךָ תִּבְלָעֵֽמוֹ אָֽרֶץ: נָחִֽיתָ בְחַסְדְּ֒ךָ עַם־זוּ גָּאָֽלְתָּ נֵהַֽלְתָּ בְעָזְּ֒ךָ אֶל־נְוֵה קָדְשֶֽׁךָ: שָֽׁמְ֒עוּ עַמִּים יִרְגָּזוּן חִיל אָחַז ישְׁ֒בֵי פְּלָֽשֶׁת: אָז נִבְהֲלוּ אַלּוּפֵי אֱדוֹם אֵילֵי מוֹאָב יֹֽאחֲזֵֽמוֹ רָֽעַד נָמֹֽגוּ כֹּל ישְׁ֒בֵי כְנָֽעַן: תִּפֹּל עֲלֵיהֶם אֵימָֽתָה וָפַֽחַד בִּגְדֹל זְרוֹעֲךָ יִדְּ֒מוּ כָּאָֽבֶן עַד־יַֽעֲבֹר עַמְּ֒ךָ יְהֹוָה עַד־יַֽעֲבֹר עַם־זוּ קָנִֽיתָ: תְּבִאֵֽמוֹ וְתִטָּעֵֽמוֹ בְּהַר נַחֲלָתְ֒ךָ מָכוֹן לְשִׁבְתְּ֒ךָ פָּעַֽלְתָּ יְהֹוָה מִקְּ֒דָשׁ אֲדֹנָי כּוֹנְ֒נוּ יָדֶֽיךָ: יְהֹוָה יִמְלֹךְ לְעֹלָם וָעֶד: יְהֹוָה יִמְלֹךְ לְעֹלָם וָעֶד: יְהֹוָה מַלְכוּתֵהּ קָאֵים לְעָלַם וּלְעָלְ֒מֵי עָלְ֒מַיָּא: כִּי בָא סוּס פַּרְעֹה בְּרִכְבּוֹ וּבְפָרָשָׁיו בַּיָּם וַיָּֽשֶׁב יְהֹוָה עֲלֵהֶם אֶת־מֵי הַיָּם וּבְנֵי יִשְׂרָאֵל הָלְ֒כוּ בַיַּבָּשָׁה בְּתוֹךְ הַיָּֽם: כִּי לַיהוָֹה הַמְּ֒לוּכָה וּמשֵׁל בַּגּוֹיִם: וְעָלוּ מוֹשִׁעִים בְּהַר צִיּוֹן לִשְׁפֹּט אֶת־הַר עֵשָׂו, וְהָיְ֒תָה לַיהוָֹה הַמְּ֒לוּכָה: וְהָיָה יְהֹוָה לְמֶֽלֶךְ עַל־כָּל הָאָֽרֶץ בַּיּוֹם הַהוּא יִהְיֶה יְהֹוָה אֶחָד וּשְׁמוֹ אֶחָד:</t>
        </is>
      </c>
      <c r="F334" s="10" t="inlineStr"/>
      <c r="G334" s="11" t="inlineStr">
        <is>
          <t>Siddur Sefard, Weekday Shacharit, Hodu</t>
        </is>
      </c>
      <c r="H334" s="8" t="inlineStr">
        <is>
          <t>The Metsudah siddur, 1981 — CC-BY</t>
        </is>
      </c>
      <c r="I334" s="8" t="inlineStr">
        <is>
          <t>sefaria-siddur-sefard-weekday-shacharit-hodu</t>
        </is>
      </c>
    </row>
    <row r="335" ht="409" customHeight="1">
      <c r="A335" s="7">
        <f>IF(LEN(TRIM(F335))=0,"Approved","Comment to address")</f>
        <v/>
      </c>
      <c r="B335" s="12" t="inlineStr">
        <is>
          <t>Yishtabach</t>
        </is>
      </c>
      <c r="C335" s="12" t="inlineStr">
        <is>
          <t>daily</t>
        </is>
      </c>
      <c r="D335" s="12" t="inlineStr">
        <is>
          <t>Nusach Sefard</t>
        </is>
      </c>
      <c r="E335" s="13" t="inlineStr">
        <is>
          <t>ברכה זו אינה פותחת בברוך מפני שסמוכה היא לברוך שאמר. ופסוקים שבנתים לא הוו הפסק. (אבודרהם)
יִשְׁתַּבַּח שִׁמְךָ לָעַד מַלְכֵּֽנוּ הָאֵל הַמֶּֽלֶךְ הַגָּדוֹל וְהַקָּדוֹשׁ בַּשָּׁמַֽיִם וּבָאָֽרֶץ, כִּי לְךָ נָאֶה יְהֹוָה אֱלֹהֵֽינוּ וֵאלֹהֵי אֲבוֹתֵֽינוּ (לְעוֹלָם וָעֶד) שִׁיר וּשְׁבָחָה הַלֵּל וְזִמְרָה עֹז וּמֶמְשָׁלָה נֶֽצַח גְּדֻלָּה וּגְבוּרָה תְּהִלָּה וְתִפְאֶֽרֶת קְדֻשָּׁה וּמַלְכוּת, בְּרָכוֹת וְהוֹדָאוֹת לְשִׁמְךָ הַגָּדוֹל וְהַקָּדוֹשׁ וּמֵעוֹלָם וְעַד עוֹלָם אַתָּה אֵל: בָּרוּךְ אַתָּה יְהֹוָה אֵל מֶֽלֶךְ גָּדוֹל וּמְהֻלָּל בַּתִּשְׁבָּחוֹת אֵל הַהוֹדָאוֹת אֲדוֹן הַנִּפְלָאוֹת בּוֹרֵא כָּל הַנְּ֒שָׁמוֹת רִבּוֹן כָּל הַמַעֲשִׂים הַבּוֹחֵר בְּשִׁירֵי זִמְרָה מֶֽלֶךְ יָחִיד אֵל חֵי הָעוֹלָמִים:
בעשרת ימי תשובה מוסיפין:
שִׁיר הַמַּעֲלוֹת מִמַּעֲמַקִּים קְרָאתִֽיךָ יְהֹוָה: אֲדֹנָי שִׁמְעָה בְקוֹלִי תִּהְיֶֽינָה אָזְנֶֽיךָ קַשֻּׁבוֹת לְקוֹל תַּחֲנוּנָי: אִם־עֲוֹנוֹת תִּשְׁמָר־יָהּ אֲדֹנָי מִי יַעֲמֹד: כִּי־עִמְּ֒ךָ הַסְּ֒לִיחָה לְמַֽעַן תִּוָּרֵא: קִוִּיתִי יְהֹוָה קִוְּתָה נַפְשִׁי וְלִדְ֒בָרוֹ הוֹחָֽלְתִּי: נַפְשִׁי לַאדֹנָי מִשֹּׁמְ֒רִים לַבֹּֽקֶר שֹׁמְ֒רִים לַבֹּֽקֶר: יַחֵל יִשְׂרָאֵל אֶל־יְהֹוָה כִּי־עִם־יְהֹוָה הַחֶֽסֶד וְהַרְבֵּה עִמּוֹ פְדוּת: וְהוּא יִפְדֶּה אֶת־יִשְׂרָאֵל מִכֹּל עֲוֹנוֹתָיו:
ואומר החזן חצי קדיש: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t>
        </is>
      </c>
      <c r="F335" s="10" t="inlineStr"/>
      <c r="G335" s="14" t="inlineStr">
        <is>
          <t>Siddur Sefard, Weekday Shacharit, Yishtabach</t>
        </is>
      </c>
      <c r="H335" s="12" t="inlineStr">
        <is>
          <t>The Metsudah siddur, 1981 — CC-BY</t>
        </is>
      </c>
      <c r="I335" s="12" t="inlineStr">
        <is>
          <t>sefaria-siddur-sefard-weekday-shacharit-yishtabach</t>
        </is>
      </c>
    </row>
    <row r="336" ht="409" customHeight="1">
      <c r="A336" s="7">
        <f>IF(LEN(TRIM(F336))=0,"Approved","Comment to address")</f>
        <v/>
      </c>
      <c r="B336" s="8" t="inlineStr">
        <is>
          <t>Tachanun</t>
        </is>
      </c>
      <c r="C336" s="8" t="inlineStr">
        <is>
          <t>repentance</t>
        </is>
      </c>
      <c r="D336" s="8" t="inlineStr">
        <is>
          <t>Nusach Sefard</t>
        </is>
      </c>
      <c r="E336" s="9" t="inlineStr">
        <is>
          <t>בר"ח וחולו של מועד וחנוכה אומרים כאן הלל לאחר חזרת הש"ץ. בת"צ אומרים סליחות. בימים שאין אומרים בהם תחנון יאמר הש"ץ חצי קדיש.
טעם נכון למה נתקן הוידוי בלשון רבים כי היה צריך לומר אשמתי בגדתי וכו'. אך העניין הוא שמלבד מה שנענש האדם על חטאיו גם הוא נענש על חברו מטעם הערבות כי כל ישראל הם גוף אחד כלול מאיברים רבים. אם כן לזה ראוי לאדם שיתוודה בלשון רבים כדי שיתוודה גם על חברו. (שער הכונות)
אֱלֺהֵֽינוּ וֵאלֺהֵי אֲבוֹתֵֽינוּ תָּבֹא לְפָנֶֽיךָ תְּפִלָּֽתֵֽנוּ, וְאַל־תִּתְעַלַּם מִתְּ֒חִנָּתֵֽנוּ שֶׁאֵין אָֽנוּ עַזֵּי פָנִים וּקְשֵׁי עֹֽרֶף לוֹמַר לְפָנֶֽיךָ יְהֹוָה אֱלֺהֵֽינוּ וֵאלֺהֵי אֲבוֹתֵֽינוּ צַדִּיקִים אֲנַֽחְנוּ וְלֺא חָטָֽאנוּ אֲבָל אֲנַֽחְנוּ וַאֲבוֹתֵֽינוּ חָטָֽאנוּ:
אָשַֽׁמְנוּ. בָּגַֽדְנוּ. גָּזַֽלְנוּ. דִּבַּֽרְנוּ דֹּֽפִי. הֶעֱוִֽינוּ. וְהִרְשַֽׁעְנוּ. זַֽדְנוּ. חָמַֽסְנוּ. טָפַֽלְנוּ שֶֽׁקֶר. יָעַֽצְנוּ רָע. כִּזַּֽבְנוּ. לַֽצְנוּ. מָרַֽדְנוּ. נִאַֽצְנוּ. סָרַֽרְנוּ. עָוִֽינוּ. פָּשַֽׁעְנוּ. צָרַֽרְנוּ. קִשִּֽׁינוּ עֹֽרֶף. רָשַֽׁעְנוּ. שִׁחַֽתְנוּ. תִּעַֽבְנוּ. תָּעִֽינוּ. תִּעְתָּֽעְנוּ:
סַֽרְנוּ מִמִּצְוֹתֶֽיךָ וּמִמִּשְׁפָּטֶֽיךָ הַטּוֹבִים וְלֺא שָֽׁוָה לָֽנוּ. וְאַתָּה צַדִּיק עַל כָּל הַבָּא עָלֵֽינוּ. כִּי אֱמֶת עָשִֽׂיתָ וַאֲנַֽחְנוּ הִרְשָֽׁעְנוּ:
אֵל אֶֽרֶךְ־אַפַּֽיִם אַתָּה. וּבַֽעַל הָרַחֲמִים נִקְרֵֽאתָ. וְדֶֽרֶךְ תְּשׁוּבָה הוֹרֵֽיתָ: גְּדֻלַּת רַחֲמֶֽיךָ וַחֲסָדֶֽיךָ. תִּזְכֺּר הַיּוֹם וּבְכָל־יוֹם לְזֶֽרַע יְדִידֶֽיךָ: תֵּֽפֶן אֵלֵֽינוּ בְּרַחֲמִים. כִּי אַתָּה הוּא בַּֽעַל הָרַחֲמִים: בְּתַחֲנוּן וּבִתְ֒פִלָּה פָּנֶֽיךָ נְקַדֵּם. כְּהוֹדַֽעְתָּ לֶעָנָיו מִקֶּֽדֶם: מֵחֲרוֹן אַפְּ֒ךָ שׁוּב. כְּמוֹ בְּתוֹרָתְ֒ךָ כָּתוּב: וּבְ֒צֵל כְּנָפֶֽיךָ נֶחֱסֶה וְנִתְלוֹנָן. כְּיוֹם וַיֵֽרֶד יְהֺוָה בֶּעָנָן: תַּעֲבֺר עַל־פֶּֽשַׁע וְתִמְחֶה אָשָׁם. כְּיוֹם וַַיִּתְיַצֵּב עִמּוֹ שָׁם: תַּאֲזִין שַׁוְעָתֵֽנוּ וְתַקְשִׁיב מֶֽנוּ מַאֲמַר. כְּיוֹם וַיִּקְרָא בְשֵׁם יְהֹוָה, וְשָׁם נֶאֱמַר:
קהל וש"ץ:
וַיַּעֲבֹר יְהֺוָה עַל פָּנָיו וַיִּקְרָא:
יְהֺוָה יְהֺוָה אֵל רַחוּם וְחַנּוּן אֶֽרֶךְ אַפַּֽיִם וְרַב־חֶֽסֶד וֶאֱמֶת: נֹצֵר חֶֽסֶד לָאֲלָפִים נֹשֵׂא עָוֹן וָפֶֽשַׁע וְחַטָּאָה וְנַקֵּה:
וְסָלַחְתָּ לַעֲוֺנֵֽנוּ וּלְ֒חַטָּאתֵֽנוּ וּנְ֒חַלְתָּֽנוּ: סְלַח־לָֽנוּ אָבִֽינוּ כִּי־חָטָֽאנוּ. מְחַל־לָֽנוּ מַלְכֵּֽנוּ כִּי־פָשָֽׁעְנוּ: כִּי־אַתָּה אֲדֺנָי טוֹב וְסַלָּח וְרַב־חֶֽסֶד לְכָל־קוֹרְ֒אֶֽיךָ:
כשנופל על פניו יש נוהגים להטות על צד ימין משום דכתיב שויתי ה' לנגדי תמיד. ויש נוהגים להטות על צד שמאל משום דהסבת שמאל שמה הסבה הלכך באותו צד שהוא נראה כבן מלך צריך ליכנע לפני המקום. וכבר נהגו ליפול בשחרית על צד ימין ובמנחה על צד שמאל.
וַיֹּֽאמֶר דָּוִד אֶל־גָּד צַר־לִי מְאֹד נִפְּ֒לָה־נָּא בְיַד־יְהֹוָה כִּי־רַבִּים רַחֲמָיו וּבְ֒יַד־אָדָם אַל־אֶפֹּֽלָה:
רַחוּם וְחַנּוּן חָטָֽאתִי לְפָנֶֽיךָ יְהֹוָה מָלֵא רַחֲמִים רַחֵם עָלַי וְקַבֵּל תַּחֲנוּנָי:
יְהֹוָה אַל־בְּאַפְּ֒ךָ תוֹכִיחֵֽנִי וְאַל־בַּחֲמָתְ֒ךָ תְיַסְּ֒רֵֽנִי: חָנֵּֽנִי יְהֹוָה כִּי אֻמְלַל אָֽנִי רְפָאֵֽנִי יְהֹוָה כִּי נִבְהֲלוּ עֲצָמָי: וְנַפְשִׁי נִבְהֲלָה מְאֹד וְאַתָּה יְהֹוָה עַד־מָתָי: שׁוּבָה יְהֹוָה חַלְּ֒צָה נַפְשִׁי הוֹשִׁיעֵֽנִי לְמַֽעַן חַסְדֶּֽךָ: כִּי אֵין בַּמָּֽוֶת זִכְרֶךָ בִּשְׁ֒אוֹל מִי־יוֹדֶה לָּךְ: יָגַֽעְתִּי־בְּאַנְחָתִי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t>
        </is>
      </c>
      <c r="F336" s="10" t="inlineStr"/>
      <c r="G336" s="11" t="inlineStr">
        <is>
          <t>Siddur Sefard, Weekday Shacharit, Tachanun</t>
        </is>
      </c>
      <c r="H336" s="8" t="inlineStr">
        <is>
          <t>The Metsudah siddur, 1981 — CC-BY</t>
        </is>
      </c>
      <c r="I336" s="8" t="inlineStr">
        <is>
          <t>sefaria-siddur-sefard-weekday-shacharit-tachanun</t>
        </is>
      </c>
    </row>
    <row r="337" ht="409" customHeight="1">
      <c r="A337" s="7">
        <f>IF(LEN(TRIM(F337))=0,"Approved","Comment to address")</f>
        <v/>
      </c>
      <c r="B337" s="12" t="inlineStr">
        <is>
          <t>Avinu Malkeinu</t>
        </is>
      </c>
      <c r="C337" s="12" t="inlineStr">
        <is>
          <t>daily</t>
        </is>
      </c>
      <c r="D337" s="12" t="inlineStr">
        <is>
          <t>Nusach Sefard</t>
        </is>
      </c>
      <c r="E337" s="13" t="inlineStr">
        <is>
          <t>בתענית ציבור ובעשי"ת אומרים כאן אבינו מלכנו. גודל מעלת אבינו מלכנו הובא בספרים. ויסדה רבי עקיבא. ונתקן כנגד ברכות אמצעיות דתפלת י"ח דחול. ולפי שיש בו מעין י"ח אין אומרים בשבת.
אָבִֽינוּ מַלְכֵּֽנוּ חָטָֽאנוּ לְפָנֶֽיךָ:
אָבִֽינוּ מַלְכֵּֽנוּ אֵין לָֽנוּ מֶֽלֶךְ אֶלָּא אָֽתָּה:
אָבִֽינוּ מַלְכֵּֽנוּ עֲשֵׂה עִמָּֽנוּ לְמַֽעַן שְׁמֶֽךָ:
בעשי"ת:
אָבִֽינוּ מַלְכֵּֽנוּ חַדֵּשׁ עָלֵֽינוּ שָׁנָה טוֹבָה:
בתענית ציבור:
אָבִֽינוּ מַלְכֵּֽנוּ בָּרֵךְ עָלֵֽינוּ שָׁנָה טוֹבָה:
אָבִֽינוּ מַלְכֵּֽנוּ בַּטֵּל מֵעָלֵֽינוּ כָּל גְּזֵרוֹת קָשׁוֹת:
אָבִֽינוּ מַלְכֵּֽנוּ בַּטֵּל מַחְשְׁ֒בוֹת שׂוֹנְ֒אֵֽינוּ:
אָבִֽינוּ מַלְכֵּֽנוּ הָפֵר עֲצַת אוֹיְ֒בֵֽינוּ:
אָבִֽינוּ מַלְכֵּֽנוּ כַּלֵּה כָּל צַר וּמַשְׂטִין מֵעָלֵֽינוּ:
אָבִֽינוּ מַלְכֵּֽנוּ סְתוֹם פִּיּוֹת מַשְׂטִינֵֽנוּ וּמְ֒קַטְרִיגֵֽנוּ:
אָבִֽינוּ מַלְכֵּֽנוּ כַּלֵּה דֶּֽבֶר וְחֶֽרֶב וְרָעָב וּשְׁ֒בִי וּמַשְׁחִית וְעָוֹן וּשְׁ֒מַד מִבְּ֒נֵי בְרִיתֶֽךָ:
אָבִֽינוּ מַלְכֵּֽנוּ מְנַע מַגֵּפָה מִנַּחֲלָתֶֽךָ:
אָבִֽינוּ מַלְכֵּֽנוּ סְלַח וּמְ֒חַל לְכָל עֲוֹנוֹתֵֽינוּ:
אָבִֽינוּ מַלְכֵּֽנוּ מְחֵה וְהַעֲבֵר פְּשָׁעֵֽינוּ וְחַטֹּאתֵֽינוּ מִנֶּֽגֶד עֵינֶֽיךָ:
אָבִֽינוּ מַלְכֵּֽנוּ מְחוֹק בְּרַחֲמֶֽיךָ הָרַבִּים כָּל שִׁטְ֒רֵי חוֹבוֹתֵֽינוּ:
אָבִֽינוּ מַלְכֵּֽנוּ הַחֲזִירֵֽנוּ בִּתְ֒שׁוּבָה שְׁלֵמָה לְפָנֶֽיךָ:
אָבִֽינוּ מַלְכֵּֽנוּ שְׁלַח רְפוּאָה שְׁלֵמָה לְחוֹלֵי עַמֶּֽךָ:
אָבִֽינוּ מַלְכֵּֽנוּ קְרַע רֹֽעַ גְּזַר דִּינֵֽנוּ:
אָבִֽינוּ מַלְכֵּֽנוּ זָכְ֒רֵֽנוּ בְּזִכָּרוֹן טוֹב לְפָנֶֽיךָ:
בעשרת ימי תשובה:
אָבִֽינוּ מַלְכֵּֽנוּ כָּתְ֒בֵֽנוּ בְּסֵֽפֶר חַיִּים טוֹבִים:
אָבִֽינוּ מַלְכֵּֽנוּ כָּתְ֒בֵֽנוּ בְּסֵֽפֶר גְּאֻלָּה וִישׁוּעָה:
אָבִֽינוּ מַלְכֵּֽנוּ כָּתְ֒בֵֽנוּ בְּסֵֽפֶר פַּרְנָסָה וְכַלְכָּלָה:
אָבִֽינוּ מַלְכֵּֽנוּ כָּתְ֒בֵֽנוּ בְּסֵֽפֶר זְכֻיּוֹת:
אָבִֽינוּ מַלְכֵּֽנוּ כָּתְ֒בֵֽנוּ בְּסֵֽפֶר סְלִיחָה וּמְ֒חִילָה:
בתענית ציבור
אָבִֽינוּ מַלְכֵּֽנוּ זָכְ֒רֵֽנוּ לְחַיִּים טוֹבִים:
אָבִֽינוּ מַלְכֵּֽנוּ זָכְ֒רֵֽנוּ לִגְ֒אֻלָּה וִישׁוּעָה:
אָבִֽינוּ מַלְכֵּֽנוּ זָכְ֒רֵֽנוּ לְפַרְנָסָה וְכַלְכָּלָה:
אָבִֽינוּ מַלְכֵּֽנוּ זָכְ֒רֵֽנוּ לִזְ֒כֻיּוֹת:
אָבִֽינוּ מַלְכֵּֽנוּ זָכְ֒רֵֽנוּ לִסְ֒לִיחָה וּמְ֒חִילָה:
אָבִֽינוּ מַלְכֵּֽנוּ הַצְמַח לָֽנוּ יְשׁוּעָה בְּקָרוֹב:
אָבִֽינוּ מַלְכֵּֽנוּ הָרֵם קֶֽרֶן יִשְׂרָאֵל עַמֶּֽךָ:
אָבִֽינוּ מַלְכֵּֽנוּ הָרֵם קֶֽרֶן מְשִׁיחֶֽךָ:
אָבִֽינוּ מַלְכֵּֽנוּ מַלֵּא יָדֵֽינוּ מִבִּרְ֒כוֹתֶֽיךָ:
אָבִֽינוּ מַלְכֵּֽנוּ מַלֵּא אֲסָמֵֽינוּ שָׂבָע:
אָבִֽינוּ מַלְכֵּֽנוּ שְׁמַע קוֹלֵֽנוּ חוּס וְרַחֵם עָלֵֽינוּ:
אָבִֽינוּ מַלְכֵּֽנוּ קַבֵּל בְּרַחֲמִים וּבְ֒רָצוֹן אֶת תְּפִלָּתֵֽנוּ:
אָבִֽינוּ מַלְכֵּֽנוּ פְּתַח שַׁעֲרֵי שָׁמַֽיִם לִתְ֒פִלָּתֵֽנוּ:
אָבִֽינוּ מַלְכֵּֽנוּ זָכוֹר כִּי עָפָר אֲנָֽחְנוּ:
אָבִֽינוּ מַלְכֵּֽנוּ נָא אַל תְּשִׁיבֵֽנוּ רֵיקָם מִלְּ֒פָנֶֽיךָ:
אָבִֽינוּ מַלְכֵּֽנוּ תְּהֵא הַשָּׁעָה הַזֹּאת שְׁעַת רַחֲמִים וְעֵת רָצוֹן מִלְּ֒פָנֶֽיךָ:
אָבִֽינוּ מַלְכֵּֽנוּ חֲמוֹל עָלֵֽינוּ וְעַל עוֹלָלֵֽינוּ וְטַפֵּֽנוּ:
אָבִֽינוּ מַלְכֵּֽנוּ עֲשֵׂה לְמַֽעַן הֲרוּגִים עַל שֵׁם קָדְשֶֽׁךָ:
אָבִֽינוּ מַלְכֵּֽנוּ עֲשֵׂה לְמַֽעַן טְבוּחִים עַל יִחוּדֶֽךָ:
אָבִֽינוּ מַלְכֵּֽנוּ עֲשֵׂה לְמַֽעַן בָּאֵי בָאֵשׁ וּבַמַּֽיִם עַל קִדּוּשׁ שְׁמֶֽךָ:
אָבִֽינוּ מַלְכֵּֽנוּ נְקוֹם לְעֵינֵֽינוּ נִקְ֒מַת דַּם עֲבָדֶֽיךָ הַשָּׁפוּךְ:
אָבִֽינוּ מַלְכֵּֽנוּ עֲשֵׂה לְמַעַנְ֒ךָ אִם לֺא לְמַעֲנֵֽנוּ:
אָבִֽינוּ מַלְכֵּֽנוּ עֲשֵׂה לְמַעַנְ֒ךָ וְהוֹשִׁיעֵֽנוּ:
אָבִֽינוּ מַלְכֵּֽנוּ עֲשֵׂה לְמַֽעַן רַחֲמֶֽיךָ הָרַבִּים:
אָבִֽינוּ מַלְכֵּֽנוּ עֲשֵׂה לְמַֽעַן שִׁמְךָ הַגָּדוֹל הַגִּבּוֹר וְהַנּוֹרָא שֶׁנִּקְרָא עָלֵֽינוּ:
אָבִֽינוּ מַלְכֵּֽנוּ חָנֵּֽנוּ וַעֲנֵֽנוּ כִּי אֵין בָּֽנוּ מַעֲשִׂים עֲשֵׂה עִמָּֽנוּ צְדָקָה וָחֶֽסֶד וְהוֹשִׁיעֵֽנוּ:</t>
        </is>
      </c>
      <c r="F337" s="10" t="inlineStr"/>
      <c r="G337" s="14" t="inlineStr">
        <is>
          <t>Siddur Sefard, Weekday Shacharit, Avinu Malkeinu</t>
        </is>
      </c>
      <c r="H337" s="12" t="inlineStr">
        <is>
          <t>The Metsudah siddur, 1981 — CC-BY</t>
        </is>
      </c>
      <c r="I337" s="12" t="inlineStr">
        <is>
          <t>sefaria-siddur-sefard-weekday-shacharit-avinu-malkeinu</t>
        </is>
      </c>
    </row>
    <row r="338" ht="409" customHeight="1">
      <c r="A338" s="7">
        <f>IF(LEN(TRIM(F338))=0,"Approved","Comment to address")</f>
        <v/>
      </c>
      <c r="B338" s="8" t="inlineStr">
        <is>
          <t>For Monday &amp; Thursday</t>
        </is>
      </c>
      <c r="C338" s="8" t="inlineStr">
        <is>
          <t>daily</t>
        </is>
      </c>
      <c r="D338" s="8" t="inlineStr">
        <is>
          <t>Nusach Sefard</t>
        </is>
      </c>
      <c r="E338" s="9" t="inlineStr">
        <is>
          <t>בשני וחמישי יאמר והוא רחום. בשאר ימים שאומרים בהם תחנון יאמר שומר ישראל.
נוהגים להרבות בתחנונים בשני וחמישי משום דאמרינן במדרש דמרע"ה עלה בחמישי לקבל לוחות אחרונות וירד בשני. ואומרים והוא רחום. ויש במדרש דג' זקנים תקנוהו. שתפשם מלך אחד ונתנם בג' ספינות בלא מנהיג. ושלחם לים ונתפזרו למרחקים. ולמקום שבאו הציר להם מאד ועמדו בתפלה וכל אחד יסד מקצת. ובכל חלק י"ח שמות כנגד תפלת י"ח. וימת אותו מלך שהציר להם בתחלואים רעים. ושלחו תפלתם בכל תפוצות ישראל לאמרה בשני וחמישי (ע"פ מחזור מכל השנה)
וְהוּא רַחוּם יְכַפֵּר עָוֺן וְלֹא־יַשְׁחִית וְהִרְבָּה לְהָשִׁיב אַפּוֹ וְלֹא־יָעִיר כָּל־חֲמָתוֹ: אַתָּה יְהֹוָה לֺא תִכְלָא רַחֲמֶֽיךָ מִמֶּֽנּוּ חַסְדְּ֒ךָ וַאֲמִתְּ֒ךָ תָּמִיד יִצְ֒רֽוּנוּ: הוֹשִׁיעֵֽנוּ יְהֹוָה אֱלֺהֵֽינוּ וְקַבְּ֒צֵֽנוּ מִן־הַגּוֹיִם לְהוֹדוֹת לְשֵׁם קָדְשֶֽׁךָ לְהִשְׁתַּבֵּֽחַ בִּתְ֒הִלָּתֶֽךָ: אִם־עֲוֺנוֹת תִּשְׁמָר־יָהּ אֲדֹנָי מִי יַעֲמֹד: כִּי־עִמְּ֒ךָ הַסְּ֒לִיחָה לְמַֽעַן תִּוָּרֵא: לֺא כַחֲטָאֵֽינוּ תַּעֲשֶׂה־לָּֽנוּ וְלֹא כַעֲוֺנֹתֵֽינוּ תִּגְמֹל עָלֵֽינוּ: אִם־עֲוֺנֵֽינוּ עָֽנוּ בָֽנוּ יְהֹוָה עֲשֵׂה לְמַֽעַן שְׁמֶֽךָ: זְכָר־רַחֲמֶֽיךָ יְהֹוָה וַחֲסָדֶֽיךָ כִּי מֵעוֹלָם הֵֽמָּה: יַעֲנֵֽנוּ יְהֹוָה בְּיוֹם צָרָה יְשַׂגְּ֒בֵֽנוּ שֵׁם אֱלֺהֵי יַעֲקֹב: יְהֹוָה הוֹשִֽׁיעָה הַמֶּֽלֶךְ יַעֲנֵֽנוּ בְיוֹם־קָרְאֵֽנוּ: אָבִֽינוּ מַלְכֵּֽנוּ חָנֵּֽנוּ וַעֲנֵֽנוּ כִּי אֵין בָּֽנוּ מַעֲשִׂים עֲשֵׂה עִמָּֽנוּ צְדָקָה כְּרוֹב רַחֲמֶֽיךָ וְהוֹשִׁיעֵֽנוּ לְמַֽעַן שְׁמֶֽךָ: אֲדוֹנֵֽינוּ אֱלֺהֵֽינוּ שְׁמַע קוֹל תַּחֲנוּנֵֽינוּ וּזְ֒כָר־לָֽנוּ אֶת־בְּרִית אֲבוֹתֵֽינוּ וְהוֹשִׁיעֵֽנוּ לְמַֽעַן שְׁמֶֽךָ:
וְעַתָּה אֲדֹנָי אֱלֺהֵֽינוּ אֲשֶׁר הוֹצֵֽאתָ אֶת־עַמְּ֒ךָ מֵאֶֽרֶץ מִצְרַֽיִם בְּיָד חֲזָקָה וַתַּֽעַשׂ־לְךָ שֵׁם כַּיּוֹם הַזֶּה חָטָֽאנוּ רָשָֽׁעְנוּ: אֲדֹנָי כְּכָל־צִדְ֒קֹתֶֽיךָ יָֽשָׁב־נָא אַפְּ֒ךָ וַחֲמָתְ֒ךָ מֵעִירְ֒ךָ יְרוּשָׁלַֽםִ הַר־קָדְשֶֽׁךָ כִּי בַחֲטָאֵֽינוּ וּבַעֲוֺנוֹת אֲבֹתֵֽינוּ יְרוּשָׁלַֽםִ וְעַמְּ֒ךָ לְחֶרְפָּה לְכָל־סְבִיבֹתֵֽינוּ: וְעַתָּה שְׁמַע אֱלֺהֵֽינוּ אֶל־תְּפִלַּת עַבְדְּךָ וְאֶל־תַּחֲנוּנָיו וְהָאֵר פָּנֶֽיךָ עַל־מִקְדָּשְׁ֒ךָ הַשָּׁמֵם לְמַֽעַן אֲדֹנָי:
הַטֵּה אֱלֺהַי אָזְנְךָ וּשְׁ֒מָע פְּקַח עֵינֶֽיךָ וּרְ֒אֵה שֹׁמְ֒מוֹתֵֽינוּ וְהָעִיר אֲשֶׁר־נִקְרָא שִׁמְךָ עָלֶֽיהָ כִּי לֺא עַל־צִדְ֒קֹתֵֽינוּ אֲנַֽחְנוּ מַפִּילִים תַּחֲנוּנֵֽינוּ לְפָנֶֽיךָ כִּי עַל־רַחֲמֶֽיךָ הָרַבִּים: אֲדֹנָי שְׁמָֽעָה אֲדֹנָי סְלָֽחָה אֲדֹנָי הַקְשִֽׁיבָה וַעֲשֵׂה אַל־תְּאַחַר: לְמַעַנְ֒ךָ אֱלֺהַי כִּי־שִׁמְךָ נִקְרָא עַל־עִירְ֒ךָ וְעַל־עַמֶּֽךָ: אָבִֽינוּ אָב הָרַחֲמָן הַרְאֵֽנוּ אוֹת לְטוֹבָה וְקַבֵּץ נְפוּצוֹתֵֽינוּ מֵאַרְבַּע כַּנְ֒פוֹת הָאָֽרֶץ: יַכִּֽירוּ וְיֵדְ֒עוּ כָּל־הַגּוֹיִם כִּי אַתָּה יְהֹוָה אֱלֺהֵֽינוּ: וְעַתָּה יְהֹוָה אָבִֽינוּ אָֽתָּה אֲנַֽחְנוּ הַחֹֽמֶר וְאַתָּה יֹצְ֒רֵֽנוּ וּמַעֲשֵׂה יָדְ֒ךָ כֻּלָּֽנוּ: הוֹשִׁיעֵֽנוּ לְמַֽעַן שְׁמֶֽךָ אָבִֽינוּ מַלְכֵּֽנוּ צוּרֵֽנוּ וְגוֹאֲלֵֽנוּ: חֽוּסָה יְהֹוָה עַל־עַמֶּֽךָ וְאַל־תִּתֵּן נַחֲלָתְ֒ךָ לְחֶרְפָּה לִמְשָׁל־בָּם גּוֹיִם: לָֽמָּה יֹאמְ֒רוּ בָעַמִּים אַיֵּה (נָא) אֱלֺהֵיהֶם: יָדַֽעְנוּ יְהֺוָה כִּי חָטָֽאנוּ וְאֵין מִי יַעֲמֹד בַּעֲדֵֽנוּ אֶלָּא שִׁמְךָ הַגָּדוֹל יַעֲמָד־לָֽנוּ בְּעֵת צָרָה: יָדַֽעְנוּ כִּי אֵין בָּֽנוּ מַעֲשִׂים צְדָקָה עֲשֵׂה עִמָּֽנוּ לְמַֽעַן שְׁמֶֽךָ: כְּרַחֵם אָב עַל־בָּנִים כֵּן תְּרַחֵם יְהֹוָה עָלֵֽינוּ וְהוֹשִׁיעֵֽנוּ לְמַֽעַן שְׁמֶֽךָ: חֲמוֹל עַל עַמֶּֽךָ רַחֵם עַל נַחֲלָתֶֽךָ חֽוּסָה־נָּא כְּרוֹב רַחֲמֶֽיךָ חָנֵּֽנוּ מַלְכֵּֽנוּ וַעֲנֵֽנוּ כִּי לְךָ יְהֹוָה הַצְּ֒דָקָה עֹשֵׂה נִפְלָאוֹת בְּכָל עֵת:
הַבֶּט־נָא רַחֶם־נָא וְהוֹשִֽׁיעָה־נָא צֹאן מַרְעִיתֶֽךָ וְאַל יִמְשָׁל־בָּֽנוּ קֶֽצֶף כִּי לְךָ יְהֹוָה הַיְ֒שׁוּעָה: בְּךָ תוֹחַלְתֵּֽנוּ אֱלֽוֹהַּ סְלִיחוֹת אָנָּא סְלַח־נָא כִּי אֵל טוֹב וְסַלָּח אָֽתָּה:
אָנָּא מֶֽלֶךְ חַנוּן וְרַחוּם זְכוֹר וְהַבֵּט לִבְ֒רִית בֵּין הַבְּ֒תָרִים וְתֵרָאֶה לְפָנֶֽיךָ עֲקֵדַת יָחִיד וּלְ֒מַֽעַן יִשְׂרָאֵל אָבִֽינוּ: אַל־תַּעַזְ֒בֵֽנוּ אָבִֽינוּ וְאַל־תִּטְּ֒שֵֽׁנוּ מַלְכֵּֽנוּ וְאַל־תִּשְׁכָּחֵֽנוּ יוֹצְ֒רֵֽנוּ וְאַל־תַּֽעַשׁ עִמָּֽנוּ כָּלָה בְּגָלוּתֵֽנוּ כִּי אֵל מֶֽלֶךְ חַנּוּן וְרַחוּם אָֽתָּה:
אֵין כָּמֽוֹךָ חַנּוּן וְרַחוּם יְהֹוָה אֱלֺהֵֽינוּ אֵין כָּמֽוֹךָ אֵל אֶֽרֶךְ אַפַּֽיִם וְרַב חֶֽסֶד וֶאֱמֶת: הוֹשִׁיעֵֽנוּ וְרַחֲמֵֽנוּ בְּרַחֲמֶֽיךָ הָרַבִּים מֵרַֽעַשׁ וּמֵרֺֽגֶז הַצִּילֵֽנוּ: זְכֺר לַעֲבָדֶֽיךָ לְאַבְרָהָם לְיִצְחָק וּלְ֒יַעֲקֹב אַל־תֵּֽפֶן אֶל־קְשִׁי הָעָם הַזֶּה וְאֶל־רִשְׁעוֹ וְאֶל־חַטָּאתוֹ: שׁוּב מֵחֲרוֹן אַפֶּֽךָ וְהִנָּחֵם עַל־הָרָעָה לְעַמֶּֽךָ: וְהָסֵר מִמֶּֽנּוּ מַכַּת הַמָּֽוֶת כִּי רַחוּם אָֽתָּה: כִּי כֵן דַּרְכֶּֽךָ עֹשֶׂה חֶֽסֶד חִנָּם בְּכָל־דּוֹר וָדוֹר: חֽוּסָה יְהֹוָה עַל־עַמֶּֽךָ וְהַצִּילֵֽנוּ מִזַּעְמֶֽךָ: וְהָסֵר מִמֶּֽנּוּ מַכַּת הַמַּגֵּפָה וּגְ֒זֵרָה קָשָׁה כִּי אַתָּה שׁוֹמֵר יִשְׂרָאֵל: לְךָ אֲדֹנָי הַצְּ֒דָקָה וְלָֽנוּ בּֽשֶׁת הַפָּנִים: מַה־נִּתְאוֹנֵן וּמַה־נֹּאמַר מַה־נְּדַבֵּר וּמַה־נִּצְטַּדָּק: נַחְפְּשָׂה דְרָכֵֽינוּ וְנַחְקֺֽרָה וְנָשֽׁוּבָה אֵלֶֽיךָ כִּי יְמִינְ֒ךָ פְשׁוּטָה לְקַבֵּל שָׁבִים: אָֽנָּא יְהֹוָה הוֹשִֽׁיעָה נָּא אָֽנָּא יְהֹוָה הַצְלִיחָה נָא: אָֽנָּא יְהֹוָה עֲנֵֽנוּ בְיוֹם קָרְאֵֽנוּ: לְךָ יְהֹוָה חִכִּֽינוּ לְךָ יְהֹוָה קִוִּינוּ לְךָ יְהֹוָה נְיַחֵל אַל תֶּחֱשֶׁה וּתְ֒עַנֵּֽנוּ כִּי נָאֲמוּ גוֹיִם אָבְ֒דָה תִקְוָתָם: כָּל־בֶּֽרֶךְ לְךָ תִכְרַע וְכָל־קוֹמָה לְפָנֶֽיךָ לְבַד תִּשְׁתַּחֲוֶה:
הַפּוֹתֵֽחַ יָד בִּתְ֒שׁוּבָה לְקַבֵּל פּוֹשְׁ֒עִים וְחַטָּאִים נִבְהֲלָה נַפְשֵֽׁנוּ מֵרוֹב עִצְּ֒בוֹנֵֽנוּ אַל־תִּשְׁכָּחֵֽנוּ נֶֽצַח קֽוּמָה וְהוֹשִׁיעֵֽנוּ: אַל־תִּשְׁפּוֹךְ חֲרוֹנְ֒ךָ עָלֵֽינוּ כִּי אֲנַֽחְנוּ עַמְּ֒ךָ בְּנֵי בְרִיתֶֽךָ: אֵל הַבִּֽיטָה דַּל כְּבוֹדֵֽנוּ בַּגּוֹיִם וְשִׁקְּ֒צֽוּנוּ כְּטֻמְאַת הַנִּדָּה: עַד־מָתַי עֻזְּ֒ךָ בַּשְּׁ֒בִי וְתִפְאַרְתְּ֒ךָ בְּיַד־צָר: עוֹרְ֒רָה גְבוּרָתְ֒ךָ וְהוֹשִׁעֵֽנוּ לְמַֽעַן שְׁמֶֽךָ: אַל־יִמְעֲטוּ לְפָנֶֽיךָ תְּלָאוֹתֵֽינוּ: מַהֵר יְקַדְּ֒מֽוּנוּ רַחֲמֶֽיךָ בְּעֵת צָרוֹתֵֽינוּ, לֺא לְמַעֲנֵֽנוּ אֶלָּא לְמַעַנְ֒ךָ פְעַל, וְאַל תַּשְׁחִית אֶת־זֵֽכֶר שְׁאֵרִיתֵֽנוּ, כִּי לְךָ מְיַחֲלוֹת עֵינֵֽינוּ כִּי אֵל מֶֽלֶךְ חַנוּן וְרַחוּם אָֽתָּה: וּזְ֒כוֹר עֵדוּתֵֽנוּ בְּכָל־יוֹם תָּמִיד אוֹמְ֒רִים פַּעֲמַֽיִם בְּאַהֲבָה: שְׁמַע יִשְׂרָאֵל יְהֹוָה אֱלֺהֵֽינוּ יְהֹוָה אֶחָד:
יְהֹוָה אֱלֺהֵי יִשְׂרָאֵל שׁוּב מֵחֲרוֹן אַפֶּֽךָ וְהִנָּחֵם עַל־הָרָעָה לְעַמֶּֽךָ:
הַבֵּט מִשָּׁמַֽיִם וּרְ֒אֵה כִּי הָיִֽינוּ לַֽעַג וָקֶֽלֶס בַּגּוֹיִם: נֶחְשַֽׁבְנוּ כַּצֹּאן לָטֶֽבַח יוּבָל, לַהֲרוֹג וּלְ֒אַבֵּד וּלְ֒מַכָּה וּלְ֒חֶרְפָּה: וּבְכָל־זֹאת שִׁמְךָ לֺא שָׁכָֽחְנוּ נָא אַל־תִּשְׁכָּחֵֽנוּ:
יְהֹוָה אֱלֺהֵי יִשְׂרָאֵל שׁוּב מֵחֲרוֹן אַפֶּֽךָ וְהִנָּחֵם עַל־הָרָעָה לְעַמֶּֽךָ:
זָרִים אוֹמְ֒רִים אֵין תּוֹחֶֽלֶת וְתִקְוָה: חוֹן אוֹם לְשִׁמְךָ מְקַוֶּה: טָהוֹר, יְשׁוּעָתֵֽנוּ קָרְ֒בָה, יָגַֽעְנוּ וְלֺא הֽוּנַח־לָֽנוּ: רַחֲמֶֽיךָ יִכְבְּ֒שׁוּ אֶת־כַּעַסְ֒ךָ מֵעָלֵֽינוּ: אָנָּא שׁוּב מֵחֲרוֹנְ֒ךָ וְרַחֵם סְגֻלָּה אֲשֶׁר בָּחָֽרְתָּ:
יְהֹוָה אֱלֺהֵי יִשְׂרָאֵל שׁוּב מֵחֲרוֹן אַפֶּֽךָ וְהִנָּחֵם עַל־הָרָעָה לְעַמֶּֽךָ:
חֽוּסָה יְהֹוָה עָלֵֽינוּ בְּרַחֲמֶֽיךָ, וְאַל תִּתְּ֒נֵֽנוּ בִּידֵי אַכְזָרִים: לָֽמָּה יֹאמְ֒רוּ הַגּוֹיִם אַיֵּה־נָא אֱלֺהֵיהֶם לְמַעַנְ֒ךָ עֲשֵׂה עִמָּֽנוּ חֶֽסֶד וְאַל תְּאַחַר: אָנָּא שׁוּב מֵחֲרוֹנְ֒ךָ וְרַחֵם סְגֻלָּה אֲשֶׁר בָּחָֽרְתָּ:
יְהֹוָה אֱלֺהֵי יִשְׂרָאֵל שׁוּב מֵחֲרוֹן אַפֶּֽךָ וְהִנָּחֵם עַל־הָרָעָה לְעַמֶּֽךָ:
קוֹלֵֽנוּ תִשְׁמַע וְתָחוֹן וְאַל־תִּטְּ֒שֵֽׁנוּ בְּיַד אֹיְ֒בֵֽינוּ לִמְחוֹת אֶת־שְׁמֵֽנוּ: זְכוֹר אֲשֶׁר נִשְׁבַּֽעְתָּ לַאֲבוֹתֵֽינוּ, כְּכוֹכְ֒בֵי הַשָּׁמַֽיִם אַרְבֶּה אֶת־זַרְעֲכֶם וְעַתָּה נִשְׁאַֽרְנוּ מְעַט מֵהַרְבֵּה: וּבְכָל־זֹאת שִׁמְךָ לֺא שָׁכָֽחְנוּ נָא אַל תִּשְׁכָּחֵֽנוּ:
יְהֹוָה אֱלֺהֵי יִשְׂרָאֵל שׁוּב מֵחֲרוֹן אַפֶּֽךָ וְהִנָּחֵם עַל־הָרָעָה לְעַמֶּֽךָ:
עָזְ֒רֵֽנוּ אֱלֺהֵי יִשְׁעֵֽנוּ עַל־דְּבַר כְּבוֹד־שְׁמֶֽךָ וְהַצִּילֵֽנוּ וְכַפֵּר עַל־חַטֹּאתֵֽינוּ לְמַֽעַן שְׁמֶֽךָ:
יְהֹוָה אֱלֺהֵי יִשְׂרָאֵל שׁוּב מֵחֲרוֹן אַפֶּֽךָ וְהִנָּחֵם עַל־הָרָעָה לְעַמֶּֽךָ:
שׁוֹמֵר יִשְׂרָאֵל שְׁמוֹר שְׁאֵרִית יִשְׂרָאֵל וְאַל יֹאבַד יִשְׂרָאֵל הָאֹמְ֒רִים שְׁמַע יִשְׂרָאֵל:
שׁוֹמֵר גּוֹי אֶחָד שְׁמוֹר שְׁאֵרִית עַם אֶחָד וְאַל יֹאבַד גּוֹי אֶחָד הַמְ֒יַחֲדִים שִׁמְךָ יְהֹוָה אֱלֺהֵֽינוּ יְהֹוָה אֶחָד:
שׁוֹמֵר גּוֹי קָדוֹשׁ שְׁמוֹר שְׁאֵרִית עַם קָדוֹשׁ וְאַל יֹאבַד גּוֹי קָדוֹשׁ הַמְ֒שַׁלְּ֒שִׁים בְּשָׁלשׁ קְדֻשּׁוֹת לְקָדוֹשׁ:
מִתְרַצֶּה בְּרַחֲמִים וּמִתְפַּיֵּס בְּתַחֲנוּנִים הִתְרַצֶּה וְהִתְפַּיֵּס לְדוֹר עָנִי כִּי אֵין עוֹזֵר: אָבִֽינוּ מַלְכֵּֽנוּ חָנֵּֽנוּ וַעֲנֵֽנוּ כִּי אֵין בָּֽנוּ מַעֲשִׂים עֲשֵׂה עִמָּֽנוּ צְדָקָה וָחֶֽסֶד וְהוֹשִׁיעֵֽנוּ:
וַאֲנַֽחְנוּ לֺא נֵדַע מַה נַּעֲשֶׂה כִּי עָלֶֽיךָ עֵינֵֽינוּ: זְכֹר רַחֲמֶֽיךָ יְהֹוָה וַחֲסָדֶֽיךָ כִּי מֵעוֹלָם הֵֽמָּה: יְהִי חַסְדְּ֒ךָ יְהֹוָה עָלֵֽינוּ כַּאֲשֶׁר יִחַֽלְנוּ לָךְ: אַל תִּזְכָּר לָֽנוּ עֲוֹנוֹת רִאשׁוֹנִים מַהֵר יְקַדְּ֒מֽוּנוּ רַחֲמֶֽיךָ כִּי דַלּֽוֹנוּ מְאֹד: עֶזְרֵֽנוּ בְּשֵׁם יְהֹוָה עֹשֵׂה שָׁמַֽיִם וְאָֽרֶץ: חָנֵּֽנוּ יְהֹוָה חָנֵּֽנוּ כִּי־רַב שָׂבַֽעְנוּ בוּז: בְּרֺֽגֶז רַחֵם תִּזְכּוֹר: בְּרֹֽגֶז עַקֵדָה תִּזְכּוֹר, בְּרֹֽגֶז תְּמִימוֹת תִּזְכּוֹר: יְהֹוָה הוֹשִֽׁיעָה, הַמֶּֽלֶךְ יַעֲנֵֽנוּ בְיוֹם קָרְאֵֽנוּ: כִּי הוּא יָדַע יִצְרֵֽנוּ זָכוּר כִּי עָפָר אֲנָֽחְנוּ: עָזְ֒רֵֽנוּ אֱלֺהֵי יִשְׁעֵֽנוּ עַל־דְּבַר כְּבוֹד־שְׁמֶֽךָ וְהַצִּילֵֽנוּ וְכַפֵּר עַל־חַטֹּאתֵֽינוּ לְמַֽעַן שְׁמֶֽךָ:
ש"ץ אומר חצי קדיש: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אשרי ובא לציון. כשמכריזים דבר יש להכריז קודם שיתחיל החזן אשרי (מגן אברהם סי' קלב)</t>
        </is>
      </c>
      <c r="F338" s="10" t="inlineStr"/>
      <c r="G338" s="11" t="inlineStr">
        <is>
          <t>Siddur Sefard, Weekday Shacharit, For Monday &amp; Thursday</t>
        </is>
      </c>
      <c r="H338" s="8" t="inlineStr">
        <is>
          <t>The Metsudah siddur, 1981 — CC-BY</t>
        </is>
      </c>
      <c r="I338" s="8" t="inlineStr">
        <is>
          <t>sefaria-siddur-sefard-weekday-shacharit-for-monday-thursday</t>
        </is>
      </c>
    </row>
    <row r="339" ht="409" customHeight="1">
      <c r="A339" s="7">
        <f>IF(LEN(TRIM(F339))=0,"Approved","Comment to address")</f>
        <v/>
      </c>
      <c r="B339" s="12" t="inlineStr">
        <is>
          <t>Ashrei</t>
        </is>
      </c>
      <c r="C339" s="12" t="inlineStr">
        <is>
          <t>daily</t>
        </is>
      </c>
      <c r="D339" s="12" t="inlineStr">
        <is>
          <t>Nusach Sefard</t>
        </is>
      </c>
      <c r="E339" s="13" t="inlineStr">
        <is>
          <t>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נוֹרְ֒אוֹתֶֽיךָ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
אלו ימים שאין אומרים בהם למנצח ואל ארך אפים. ר"ח חנוכה ופורים ערב פסח וערב יו"כ ותשעה באב. והוא הדין ביום י"ד וט"ו באדר ראשון. גם אין אומרים אותם בבית האבל דכללא הוא דאא"א ולמנצח דינם שוה. (דה"ח)
מה שתקנו לאומרו בסוף התפלה מפני שאומר במדרש תלים אמר ר' שמעון בר אבא אתה מוצא י"ח מזמורים מראש הספר ועד פסוק זה ואשרי האיש ולמה רגשו גוים חד הוא כנגד י"ח ברכות שאדם מתפלל בכל יום. אדם אומר לחבירו תתעני צלותך כך דוד המלך לאחר ששר י"ח שירות ותושבחות אמר יענך ה' ביום צרה והכי איתא בירושלמי. ובשבתות ובימים טובים אין אומרים אותו מפני שהוא מזמור של תחנה וגם הוא מתחיל יענך ה' ביום צרה ושבתות וימים טובים אינם ימי צרה אלא ימי שמחה. (אבודרהם)
לַמְנַצֵּֽחַ מִזְמוֹר לְדָוִד: יַעַנְ֒ךָ יְהֹוָה בְּיוֹם צָרָה יְשַׂגֶּבְ֒ךָ שֵׁם אֱלֺהֵי יַעֲקֹב: יִשְׁלַח עֶזְרְךָ מִקֹּֽדֶשׁ וּמִצִּיּוֹן יִסְעָדֶֽךָּ: יִזְכֹּר כָּל מִנְחֹתֶֽיךָ וְעוֹלָתְ֒ךָ יְדַשְּׁ֒נֶה סֶּֽלָה: יִתֶּן לְךָ כִלְ֒בָבֶֽךָ וְכָל עֲצָתְ֒ךָ יְמַלֵּא: נְרַנְּ֒נָה בִּישׁוּעָתֶֽךָ וּבְ֒שֵׁם אֱלֺהֵֽינוּ נִדְגֹּל יְמַלֵּא יְהֹוָה כָּל מִשְׁאֲלוֹתֶֽיךָ: עַתָּה יָדַֽעְתִּי כִּי הוֹשִֽׁיעַ יְהֹוָה מְשִׁיחוֹ יַעֲנֵֽהוּ מִשְּׁ֒מֵי קָדְשׁוֹ בִּגְ֒בוּרוֹת יֵֽשַׁע יְמִינוֹ: אֵֽלֶּה בָרֶֽכֶב וְאֵֽלֶּה בַסּוּסִים וַאֲנַֽחְנוּ בְּשֵׁם יְהֹוָה אֱלֺהֵֽינוּ נַזְכִּיר: הֵֽמָּה כָּרְ֒עוּ וְנָפָֽלוּ וַאֲנַֽחְנוּ קַֽמְנוּ וַנִּתְעוֹדָד: יְהֹוָה הוֹשִׁיעָה הַמֶּֽלֶךְ יַעֲנֵֽנוּ בְיוֹם קָרְאֵֽנוּ:
מה שתקנו סדר קדושה בסוף התפלה בעבור עמי הארץ המאחרים לבא לתפלה שלא יפסידו שמיעת הקדושה. דאמרינן בשלהי סוטה אמאי קאי עלמא אסדרא דקדושה ואיהא שמיה רבה דאגדתא. ולכך תקנו לתרגם סדר קדושה זה כדי שיבינו עמי הארץ שאין מכירים לדבר בלשון הקדש אלא בלשון תרגום שהיו רגילין לדבר בו באותו זמן. (אבודרהם)
וּבָא לְצִיּוֹן גּוֹאֵל וּלְ֒שָׁבֵי פֶֽשַׁע בְּיַעֲקֹב נְאֻם יְהֹוָה: וַאֲנִי זֹאת בְּרִיתִי אֹתָם אָמַר יְהֹוָה רוּחִי אֲשֶׁר עָלֶֽיךָ וּדְ֒בָרַי אֲשֶׁר שַֽׂמְתִּי בְּפִֽיךָ לֺא יָמֽוּשׁוּ מִפִּֽיךָ וּמִפִּי זַרְעֲךָ וּמִפִּי זֶֽרַע זַרְעֲךָ אָמַר יְהֹוָה מֵעַתָּה וְעַד עוֹלָם:
וְאַתָּה קָדוֹשׁ יוֹשֵׁב תְּהִלּוֹת יִשְׂרָאֵל: וְקָרָא זֶה אֶל זֶה וְאָמַר קָדוֹשׁ קָדוֹשׁ קָדוֹשׁ יְהֹוָה צְבָאוֹת מְלֺא כָל הָאָֽרֶץ כְּבוֹדוֹ:
וּמְ֒קַבְּ֒לִין דֵּין מִן דֵּין וְאָמְ֒רִין קַדִּישׁ בִּשְׁ֒מֵי מְרוֹמָא עִלָּאָה בֵּית שְׁכִינְתֵּהּ קַדִּישׁ עַל אַרְעָא עוֹבַד גְּבוּרְתֵּהּ קַדִּישׁ לְעָלַם וּלְעָלְ֒מֵי עָלְ֒מַיָּא יְהֹוָה צְבָאוֹת, מַלְיָא כָל אַרְעָא זִיו יְקָרֵהּ:
וַתִּשָּׂאֵֽנִי רֽוּחַ וָאֶשְׁמַע אַחֲרַי קוֹל רַֽעַשׁ גָּדוֹל בָּרוּךְ כְּבוֹד יְהֹוָה מִמְּ֒קוֹמוֹ:
וּנְ֒טָלַתְנִי רוּחָא וּשְׁמָעִית בַּתְרַי קָל זִֽיעַ סַגִּיא דִּמְ֒שַׁבְּ֒חִין וְאָמְ֒רִין בְּרִיךְ יְקָרָא דַיהוָֹה מֵאֲתַר בֵּית שְׁכִינְתֵּהּ:
יְהֹוָה יִמְלֺךְ לְעוֹלָם וָעֶד:
יְהֹוָה מַלְכוּתֵהּ קָאֵים לְעָלַם וּלְעָלְ֒מֵי עָלְ֒מַיָּא:
יְהֹוָה אֱלֺהֵי אַבְרָהָם יִצְחָק וְיִשְׂרָאֵל אֲבוֹתֵֽינוּ שָׁמְ֒רָה זֹאת לְעֹלָם לְיֵֽצֶר מַחְשְׁ֒בוֹת לְבַב עַמֶּֽךָ וְהָכֵן לְבָבָם אֵלֶֽיךָ: וְהוּא רַחוּם יְכַפֵּר עָוֹן וְלֺא יַשְׁחִית וְהִרְבָּה לְהָשִׁיב אַפּוֹ וְלֺא יָעִיר כָּל חֲמָתוֹ: כִּי אַתָּה אֲדֹנָי טוֹב וְסַלָּח וְרַב חֶֽסֶד לְכָל קֹרְ֒אֶֽיךָ: צִדְ֒קָתְ֒ךָ צֶֽדֶק לְעוֹלָם וְתוֹרָתְ֒ךָ אֱמֶת: תִּתֵּן אֱמֶת לְיַעֲקֹב חֶֽסֶד לְאַבְרָהָם אֲשֶׁר נִשְׁבַּֽעְתָּ לַאֲבוֹתֵֽינוּ מִֽימֵי קֶֽדֶם: בָּרוּךְ אֲדֹנָי יוֹם יוֹם יַעֲמָס לָֽנוּ הָאֵל יְשׁוּעָתֵֽנוּ סֶֽלָה: יְהֹוָה צְבָאוֹת עִמָּֽנוּ מִשְׂגָּב לָֽנוּ אֱלֺהֵי יַעֲקֹב סֶֽלָה: יְהֹוָה צְבָאוֹת אַשְׁרֵי אָדָם בֹּטֵֽחַ בָּךְ: יְהֹוָה הוֹשִֽׁיעָה הַמֶּֽלֶךְ יַעֲנֵֽנוּ בְיוֹם קָרְאֵֽנוּ:
בָּרוּךְ הוּא אֱלֺהֵֽינוּ שֶׁבְּ֒רָאָֽנוּ לִכְ֒בוֹדוֹ וְהִבְדִּילָֽנוּ מִן הַתּוֹעִים וְנָֽתַן לָֽנוּ תּוֹרַת אֱמֶת וְחַיֵּי עוֹלָם נָטַע בְּתוֹכֵֽנוּ הוּא יִפְתַּח לִבֵּֽנוּ בְּתוֹרָתוֹ וְיָשֵׂם בְּלִבֵּֽנוּ אַהֲבָתוֹ וְיִרְאָתוֹ וְלַעֲשׂוֹת רְצוֹנוֹ וּלְ֒עָבְ֒דוֹ בְּלֵבָב שָׁלֵם לְמַֽעַן לֺא נִיגַע לָרִיק וְלֺא נֵלֵד לַבֶּהָלָה:
יְהִי רָצוֹן מִלְּ֒פָנֶֽיךָ יְהֹוָה אֱלֺהֵֽינוּ וֵאלֺהֵי אֲבוֹתֵֽינוּ שֶׁנִּשְׁמֹר חֻקֶּֽיךָ בָּעוֹלָם הַזֶּה וְנִזְכֶּה וְנִחְיֶה וְנִרְאֶה וְנִירַשׁ טוֹבָה וּבְ֒רָכָה לִשְׁ֒נֵי יְמוֹת הַמָּשִֽׁיחַ וּלְ֒חַיֵּי הָעוֹלָם הַבָּא: לְמַֽעַן יְזַמֶּרְ֒ךָ כָבוֹד וְלֺא יִדֹּם יְהֹוָה אֱלֺהַי לְעוֹלָם אוֹדֶֽךָּ: בָּרוּךְ הַגֶּֽבֶר אֲשֶׁר יִבְטַח בַּיהוָֹה וְהָיָה יְהֹוָה מִבְטַחוֹ: בִּטְ֒חוּ בַיהוָֹה עֲדֵי עַד כִּי בְּיָהּ יְהֹוָה צוּר עוֹלָמִים: וְיִבְטְחוּ בְךָ יוֹדְ֒עֵי שְׁמֶֽךָ כִּי לֺא עָזַֽבְתָּ דֹרְ֒שֶֽׁיךָ יְהֹוָה: יְהֹוָה חָפֵץ לְמַֽעַן צִדְקוֹ יַגְדִּיל תּוֹרָה וְיַאְדִּיר:
(יְהֺוָה אֲדוֹנֵֽינוּ, מָה אַדִּיר שִׁמְךָ בְּכָל הָאָֽרֶץ: חִזְ֒קוּ וְיַאֲמֵץ לְבַבְ֒כֶם כָּל הַמְ֒יַחֲלִים לַיהֹוָה:)
כל ימות השנה כשאין מוסף אומר הש"ץ קדיש תתקבל אחר ובא לציון. אבל כשיש מוסף אומר הש"ץ רק חצי קדיש על סדר קדושה ומתפללין מוסף. ובר"ח חולצין התפילין קודם תפלת מוסף.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תִּתְקַבֵּל צְלוֹתְ֒הוֹן וּבָעוּתְ֒הוֹן דְּכָל בֵּית יִשְׂרָאֵל קֳדָם אֲבוּהוֹן דִּי בִשְׁ֒מַיָּא וְאִמְרוּ אָמֵן:
יְהֵא שְׁלָמָא רַבָּא מִן שְׁמַיָּא וְחַיִּים עָלֵֽינוּ וְעַל כָּל יִשְׂרָאֵל וְאִמְרוּ אָמֵן:
עוֹשֶׂה שָׁלוֹם (בעשי"ת הַשָּׁלוֹם) בִּמְרוֹמָיו הוּא יַעֲשֶׂה שָׁלוֹם עָלֵינוּ וְעַל כָּל יִשְׂרָאֵל וְאִמְרוּ אָמֵן
בשני ובחמישי ושאר ימים שמוציאין ספר תורה אומרים יהללו כשמחזירים הס"ת למקומו. ואומר החזן:
יְהַלְ֒לוּ אֶת־שֵׁם יְהֹוָה כִּי־נִשְׂגָּב שְׁמוֹ לְבַדּוֹ:
קהל:
הוֹדוֹ עַל־אֶֽרֶץ וְשָׁמָֽיִם: וַיָּֽרֶם קֶֽרֶן לְעַמּוֹ תְּהִלָּה לְכָל־חֲסִידָיו לִבְנֵי יִשְׂרָאֵל עַם קְרֹבוֹ הַלְ֒לוּיָהּ:
לְדָוִד מִזְמוֹר לַיהוָֹה הָאָֽרֶץ וּמְ֒לוֹאָהּ תֵּבֵל וְיֽשְׁ֒בֵי בָהּ: כִּי־הוּא עַל־יַמִּים יְסָדָהּ וְעַל־נְהָרוֹת יְכוֹנְ֒נֶֽהָ: מִי־יַעֲלֶה בְהַר־יְהֹוָה וּמִי יָקוּם בִּמְ֒קוֹם קָדְשׁוֹ: נְקִי כַפַּֽיִם וּבַר־לֵבָב אֲשֶׁר לֺא־נָשָׂא לַשָּׁוְא נַפְשִׁי וְלֺא נִשְׁבַּע לְמִרְמָה: יִשָּׂא בְרָכָה מֵאֵת יְהֹוָה וּצְ֒דָקָה מֵאֱלֺהֵי יִשְׁעוֹ: זֶה דּוֹר דּוֹרְ֒שָׁיו מְבַקְ֒שֵׁי פָנֶֽיךָ יַעֲקֹב סֶֽלָה: שְׂאוּ שְׁעָרִים רָאשֵׁיכֶם וְהִנָּשְׂ֒אוּ פִּתְ֒חֵי עוֹלָם וְיָבוֹא מֶֽלֶךְ הַכָּבוֹד: מִי זֶה מֶֽלֶךְ הַכָּבוֹד יְהֹוָה עִזּוּז וְגִבּוֹר יְהֹוָה גִּבּוֹר מִלְחָמָה: שְׂאוּ שְׁעָרִים רָאשֵׁיכֶם וּשְׂ֒אוּ פִּתְ֒חֵי עוֹלָם וְיָבוֹא מֶֽלֶךְ הַכָּבוֹד: מִי הוּא זֶה מֶֽלֶךְ הַכָּבוֹד יְהֹוָה צְבָאוֹת הוּא מֶֽלֶךְ הַכָּבוֹד סֶֽלָה:
בשעת הכנסת ס"ת להיכל אומרים זה:
וּבְ֒נֻחֹה יֹאמַר שׁוּבָה יְהֹוָה רִבְ֒בוֹת אַלְ֒פֵי יִשְׂרָאֵל: קוּמָה יְהֹוָה לִמְ֒נוּחָתֶֽךָ אַתָּה וַאֲרוֹן עֻזֶּֽךָ: כֹּהֲנֶֽיךָ יִלְבְּ֒שׁוּ צֶֽדֶק וַחֲסִידֶֽיךָ יְרַנֵּֽנוּ: בַּעֲבוּר דָּוִד עַבְדֶּֽךָ אַל תָּשֵׁב פְּנֵי מְשִׁיחֶֽךָ: כִּי לֶֽקַח טוֹב נָתַֽתִּי לָכֶם תּוֹרָתִי אַל תַּעֲזֹֽבוּ: עֵץ חַיִּים הִיא לַמַּחֲזִיקִים בָּהּ וְתוֹמְ֒כֶֽיהָ מְאֻשָּׁר: דְּרָכֶֽיהָ דַּרְ֒כֵי נֹֽעַם וְכָל נְתִיבוֹתֶֽיהָ שָׁלוֹם: הֲשִׁיבֵֽנוּ יְהֹוָה אֵלֶֽיךָ וְנָשׁוּבָה חַדֵּשׁ יָמֵֽינוּ כְּקֶֽדֶם:</t>
        </is>
      </c>
      <c r="F339" s="10" t="inlineStr"/>
      <c r="G339" s="14" t="inlineStr">
        <is>
          <t>Siddur Sefard, Weekday Shacharit, Ashrei</t>
        </is>
      </c>
      <c r="H339" s="12" t="inlineStr">
        <is>
          <t>The Metsudah siddur, 1981 — CC-BY</t>
        </is>
      </c>
      <c r="I339" s="12" t="inlineStr">
        <is>
          <t>sefaria-siddur-sefard-weekday-shacharit-ashrei</t>
        </is>
      </c>
    </row>
    <row r="340" ht="409" customHeight="1">
      <c r="A340" s="7">
        <f>IF(LEN(TRIM(F340))=0,"Approved","Comment to address")</f>
        <v/>
      </c>
      <c r="B340" s="8" t="inlineStr">
        <is>
          <t>Song of the Day</t>
        </is>
      </c>
      <c r="C340" s="8" t="inlineStr">
        <is>
          <t>daily</t>
        </is>
      </c>
      <c r="D340" s="8" t="inlineStr">
        <is>
          <t>Nusach Sefard</t>
        </is>
      </c>
      <c r="E340" s="9" t="inlineStr">
        <is>
          <t>נהגו לומר בכל ימי השבוע השיר שהיו הלוים אומרים במקדש. ומקורו במס' סופרים (מס' סופרים י"ח, א) לפיכך נהגו העם לומר מזמורים בעונתן. דתנינן תמן (תמיד פ"ז מ"ד) השיר שהיו הלוים אומרים בביהמ"ק וכו'. שכל המזכיר פסוק בעונתו מעלה עליו כאילו בונה מזבח חדש ומקריב עליו קרבן. ע"כ. (עץ יוסף)
בראשון בשבת:
הַיּוֹם יוֹם רִאשׁוֹן בַּשַּׁבָּת שֶׁבּוֹ הָיוּ הַלְ֒וִיִּם אוֹמְ֒רִים בְּבֵית הַמִּקְדָּשׁ:
לְדָוִד מִזְמוֹר לַיהוָֹה הָאָֽרֶץ וּמְ֒לוֹאָהּ תֵּבֵל וְיֽשְׁ֒בֵי בָהּ: כִּי הוּא עַל יַמִּים יְסָדָהּ וְעַל נְהָרוֹת יְכוֹנְ֒נֶֽהָ: מִי יַעֲלֶה בְהַר יְהֹוָה וּמִי יָקוּם בִּמְ֒קוֹם קָדְשׁוֹ: נְקִי כַפַּֽיִם וּבַר לֵבָב אֲשֶׁר לֺא נָשָׂא לַשָּׁוְא נַפְשִׁי וְלֺא נִשְׁבַּע לְמִרְמָה: יִשָּׂא בְרָכָה מֵאֵת יְהֹוָה וּצְ֒דָקָה מֵאֱלֺהֵי יִשְׁעוֹ: זֶה דּוֹר דּוֹרְ֒שָׁיו מְבַקְ֒שֵׁי פָנֶֽיךָ יַעֲקֹב סֶֽלָה: שְׂאוּ שְׁעָרִים רָאשֵׁיכֶם וְהִנָּשְׂ֒אוּ פִּתְ֒חֵי עוֹלָם וְיָבוֹא מֶֽלֶךְ הַכָּבוֹד: מִי זֶה מֶֽלֶךְ הַכָּבוֹד יְהֹוָה עִזּוּז וְגִבּוֹר יְהֹוָה גִּבּוֹר מִלְחָמָה: שְׂאוּ שְׁעָרִים רָאשֵׁיכֶם וּשְׂ֒אוּ פִּתְ֒חֵי עוֹלָם וְיָבוֹא מֶֽלֶךְ הַכָּבוֹד: מִי הוּא זֶה מֶֽלֶךְ הַכָּבוֹד יְהֹוָה צְבָאוֹת הוּא מֶֽלֶךְ הַכָּבוֹד סֶֽלָה:
(הושיענו וכו'. קדיש יתום.)
בשני בשבת:
הַיּוֹם יוֹם שֵׁנִי בַּשַּׁבָּת שֶׁבּוֹ הָיוּ הַלְ֒וִיִּם אוֹמְ֒רִים בְּבֵית הַמִּקְדָּשׁ:
שִׁיר מִזְמוֹר לִבְנֵי קֹֽרַח: גָּדוֹל יְהֹוָה וּמְהֻלָּל מְאֹד בְּעִיר אֱלֺהֵֽינוּ הַר קָדְשׁוֹ: יְפֵה נוֹף מְשׂוֹשׂ כָּל הָאָֽרֶץ הַר צִיּוֹן יַרְכְּתֵי צָפוֹן קִרְיַת מֶֽלֶךְ רָב: אֱלֺהִים בְּאַרְמְנוֹתֶֽיהָ נוֹדַע לְמִשְׂגָּב: כִּי הִנֵּה הַמְּ֒לָכִים נוֹעֲדוּ עָבְ֒רוּ יַחְדָּו: הֵֽמָּה רָאוּ כֵּן תָּמָֽהוּ נִבְהֲלוּ נֶחְפָּֽזוּ: רְעָדָה אֲחָזָֽתַם שָׁם חִיל כַּיּוֹלֵדָה: בְּרֽוּחַ קָדִים תְּשַׁבֵּר אֳנִיּוֹת תַּרְשִׁישׁ: כַּאֲשֶׁר שָׁמַֽעְנוּ כֵּן רָאִֽינוּ בְּעִיר יְהֹוָה צְבָאוֹת בְּעִיר אֱלֺהֵֽינוּ אֱלֺהִים יְכוֹנְ֒נֶֽהָ עַד עוֹלָם סֶֽלָה: דִּמִּֽינוּ אֱלֺהִים חַסְדֶּֽךָ בְּקֶֽרֶב הֵיכָלֶֽךָ: כְּשִׁמְךָ אֱלֺהִים כֵּן תְּהִלָּתְ֒ךָ עַל קַצְוֵי אֶֽרֶץ צֶֽדֶק מָלְ֒אָה יְמִינֶֽךָ: יִשְׂמַח הַר צִיּוֹן תָּגֵֽלְנָה בְּנוֹת יְהוּדָה לְמַֽעַן מִשְׁפָּטֶֽיךָ: סֹֽבּוּ צִיּוֹן וְהַקִּיפֽוּהָ סִפְ֒רוּ מִגְדָּלֶֽיהָ: שִֽׁיתוּ לִבְּ֒כֶם לְחֵילָה פַּסְּ֒גוּ אַרְמְ֒נוֹתֶֽיהָ לְמַֽעַן תְּסַפְּ֒רוּ לְדוֹר אַחֲרוֹן: כִּי זֶה אֱלֺהִים אֱלֺהֵֽינוּ עוֹלָם וָעֶד הוּא יְנַהֲגֵֽנוּ עַל מוּת:
(הושיענו וכו'. קדיש יתום.)
בשלישי בשבת:
הַיּוֹם יוֹם שְׁלִישִׁי בַּשַּׁבָּת שֶׁבּוֹ הָיוּ הַלְ֒וִיִּם אוֹמְ֒רִים בְּבֵית הַמִּקְדָּשׁ:
מִזְמוֹר לְאָסָף אֱלֺהִים נִצָּב בַּעֲדַת אֵל בְּקֶֽרֶב אֱלֺהִים יִשְׁפֹּט: עַד מָתַי תִּשְׁפְּטוּ עָֽוֶל וּפְ֒נֵי רְשָׁעִים תִּשְׂ֒אוּ סֶֽלָה: שִׁפְ֒טוּ דָל וְיָתוֹם עָנִי וָרָשׁ הַצְדִּֽיקוּ: פַּלְּ֒טוּ דַל וְאֶבְיוֹן מִיַּד רְשָׁעִים הַצִּֽילוּ: לֺא יָדְ֒עוּ וְלֺא יָבִֽינוּ בַּחֲשֵׁכָה יִתְהַלָּֽכוּ יִמּֽוֹטוּ כָּל מֽוֹסְ֒דֵי אָֽרֶץ: אֲנִי אָמַֽרְתִּי אֱלֺהִים אַתֶּם וּבְ֒נֵי עֶלְיוֹן כֻּלְּ֒כֶם: אָכֵן כְּאָדָם תְּמוּתוּן וּכְ֒אַחַד הַשָּׂרִים תִּפֹּֽלוּ: קוּמָה אֱלֺהִים שָׁפְ֒טָה הָאָרֶץ כִּי אַתָּה תִנְחַל בְּכָל הַגּוֹיִם:
(הושיענו וכו'. קדיש יתום.)
ברביעי בשבת:
הַיּוֹם יוֹם רְבִיעִי בַּשַּׁבָּת שֶׁבּוֹ הָיוּ הַלְ֒וִיִּם אוֹמְ֒רִים בְּבֵית הַמִּקְדָּשׁ:
אֵל נְקָמוֹת יְהֹוָה אֵל נְקָמוֹת הוֹפִֽיעַ: הִנָּשֵׂא שֹׁפֵט הָאָֽרֶץ הָשֵׁב גְּמוּל עַל גֵּאִים: עַד מָתַי רְשָׁעִים יְהֹוָה עַד מָתַי רְשָׁעִים יַעֲלֺֽזוּ: יַבִּֽיעוּ יְדַבְּ֒רוּ עָתָק יִתְאַמְּ֒רוּ כָּל פֹּֽעֲלֵי אָֽוֶן: עַמְּ֒ךָ יְהֹוָה יְדַכְּ֒אוּ וְנַחֲלָתְ֒ךָ יְעַנּוּ: אַלְמָנָה וְגֵר יַהֲרֹֽגוּ וִיתוֹמִים יְרַצֵּֽחוּ: וַיֹּאמְ֒רוּ לֺא יִרְאֶה יָהּ וְלֺא יָבִין אֱלֺהֵי יַעֲקֹב: בִּֽינוּ בֹּעֲרִים בָּעָם וּכְ֒סִילִים מָתַי תַּשְׂכִּֽילוּ: הֲנֹֽטַע אֹֽזֶן הֲלֺא יִשְׁמָע אִם יוֹצֵר עַֽיִן הֲלֺא יַבִּיט: הֲיֹסֵר גּוֹיִם הֲלֺא יוֹכִֽיחַ הַמְ֒לַמֵּד אָדָם דָּֽעַת: יְהֹוָה יֹדֵֽעַ מַחְשְׁ֒בוֹת אָדָם כִּי הֵֽמָּה הָֽבֶל: אַשְׁרֵי הַגֶּֽבֶר אֲשֶׁר תְּיַסְּ֒רֶֽנּוּ יָהּ וּמִתּוֹרָתְ֒ךָ תְלַמְּ֒דֶֽנּוּ: לְהַשְׁקִיט לוֹ מִֽימֵי רָע עַד יִכָּרֶה לָרָשָׁע שָֽׁחַת: כִּי לֺא יִטּשׁ יְהֹוָה עַמּוֹ וְנַחֲלָתוֹ לֺא יַעֲזֹב: כִּי עַד צֶֽדֶק יָשׁוּב מִשְׁפָּט וְאַחֲרָיו כָּל יִשְׁ֒רֵי לֵב: מִי יָקוּם לִי עִם מְרֵעִים מִי יִתְיַצֵּב לִי עִם פֹּֽעֲלֵי אָֽוֶן: לוּלֵי יְהֹוָה עֶזְרָֽתָה לִּי כִּמְ֒עַט שָׁכְ֒נָה דוּמָה נַפְשִׁי: אִם אָמַֽרְתִּי מָֽטָה רַגְלִי חַסְדְּ֒ךָ יְהֹוָה יִסְעָדֵֽנִי: בְּרֹב שַׂרְעַפַּי בְּקִרְבִּי תַּנְחוּמֶֽיךָ יְשַׁעַשְׁ֒עוּ נַפְשִׁי: הַיְ֒חָבְרְךָ כִּסֵּא הַוָּוֹת יֹצֵר עָמָל עֲלֵי חֹק: יָגֽוֹדּוּ עַל נֶֽפֶשׁ צַדִּיק וְדָם נָקִי יַרְשִֽׁיעוּ: וַיְ֒הִי יְהֹוָה לִי לְמִשְׂגָּב וֵאלֺהַי לְצוּר מַחְסִי: וַיָּֽשֶׁב עֲלֵיהֶם אֶת אוֹנָם וּבְ֒רָעָתָם יַצְמִיתֵם יַצְמִיתֵם יְהֹוָה אֱלֺהֵֽינוּ: לְכוּ נְרַנְּ֒נָה לַיהוָֹה נָרִֽיעָה לְצוּר יִשְׁעֵֽנוּ: נְקַדְּ֒מָה פָנָיו בְּתוֹדָה בִּזְמִרוֹת נָרִֽיעַ לוֹ: כִּי אֵל גָּדוֹל יְהֹוָה וּמֶֽלֶךְ גָּדוֹל עַל כָּל אֱלֺהִים:
(הושיענו וכו'. קדיש יתום.)
בחמישי בשבת:
הַיּוֹם יוֹם חֲמִישִׁי בַּשַּׁבָּת שֶׁבּוֹ הָיוּ הַלְ֒וִיִּם אוֹמְ֒רִים בְּבֵית הַמִּקְדָּשׁ:
לַמְנַצֵּֽחַ עַל הַגִּתִּית לְאָסָף: הַרְנִֽינוּ לֵאלֺהִים עֻזֵּנוּ הָרִֽיעוּ לֵאלֺהֵי יַעֲקֹב: שְׂאוּ זִמְרָה וּתְ֒נוּ תֹף כִּנּוֹר נָעִים עִם נָֽבֶל: תִּקְ֒עוּ בַחֹֽדֶשׁ שׁוֹפָר בַּכֶּֽסֶה לְיוֹם חַגֵּֽנוּ: כִּי חֹק לְיִשְׂרָאֵל הוּא מִשְׁפָּט לֵאלֺהֵי יַעֲקֹב: עֵדוּת בִּיהוֹסֵף שָׂמוֹ בְּצֵאתוֹ עַל אֶֽרֶץ מִצְרָֽיִם שְׂפַת לֺא יָדַֽעְתִּי אֶשְׁמָע: הֲסִירֽוֹתִי מִסֵּֽבֶל שִׁכְמוֹ כַּפָּיו מִדּוּד תַּעֲבֹֽרְ֒נָה: בַּצָּרָה קָרָֽאתָ וָאֲחַלְּ֒צֶֽךָ אֶעֶנְךָ בְּסֵֽתֶר רַֽעַם אֶבְחָנְ֒ךָ עַל מֵי מְרִיבָה סֶֽלָה: שְׁמַע עַמִּי וְאָעִֽידָה בָּךְ יִשְׂרָאֵל אִם תִּשְׁמַע לִי: לֺא יִהְיֶה בְךָ אֵל זָר וְלֺא תִשְׁתַּחֲוֶה לְאֵל נֵכָר: אָנֹכִי יְהֹוָה אֱלֺהֶֽיךָ הַמַּעַלְ֒ךָ מֵאֶֽרֶץ מִצְרָֽיִם הַרְחֶב פִּֽיךָ וַאֲמַלְ֒אֵֽהוּ: וְלֺא שָׁמַע עַמִּי לְקוֹלִי וְיִשְׂרָאֵל לֺא אָֽבָה לִי: וָאֲשַׁלְּ֒חֵֽהוּ בִּשְׁרִירוּת לִבָּם יֵלְ֒כוּ בְּמוֹעֲצוֹתֵיהֶם: לוּ עַמִּי שֹׁמֵֽעַ לִי יִשְׂרָאֵל בִּדְ֒רָכַי יְהַלֵּֽכוּ: כִּמְ֒עַט אוֹיְ֒בֵיהֶם אַכְנִֽיעַ וְעַל צָרֵיהֶם אָשִׁיב יָדִי: מְשַׂנְ֒אֵי יְהֹוָה יְכַחֲשׁוּ לוֹ וִיהִי עִתָּם לְעוֹלָם: וַיַּאֲכִילֵֽהוּ מֵחֵֽלֶב חִטָּה וּמִצּוּר דְּבַשׁ אַשְׂבִּיעֶֽךָּ:
(הושיענו וכו'. קדיש יתום.)
בשישי בשבת:
הַיּוֹם יוֹם שִׁשִּׁי בַּשַּׁבָּת שֶׁבּוֹ הָיוּ הַלְ֒וִיִּם אוֹמְ֒רִים בְּבֵית הַמִּקְדָּשׁ:
יְהֹוָה מָלָךְ גֵּאוּת לָבֵשׁ לָבֵשׁ יְהֹוָה עֹז הִתְאַזָּר אַף תִּכּוֹן תֵּבֵל בַּל תִּמּוֹט: נָכוֹן כִּסְאֲךָ מֵאָז מֵעוֹלָם אָֽתָּה: נָשְׂ֒אוּ נְהָרוֹת יְהֹוָה נָשְׂ֒אוּ נְהָרוֹת קוֹלָם יִשְׂ֒אוּ נְהָרוֹת דָּכְיָם: מִקֹּלוֹת מַֽיִם רַבִּים אַדִּירִים מִשְׁבְּ֒רֵי יָם אַדִּיר בַּמָּרוֹם יְהֹוָה: עֵדֹתֶֽיךָ נֶאֶמְ֒נוּ מְאֹד לְבֵיתְ֒ךָ נָאֲוָה קֹֽדֶשׁ יְהֹוָה לְאֹֽרֶךְ יָמִים:
הוֹשִׁיעֵֽנוּ אֱלֹהֵי יִשְׁעֵֽנוּ וְקַבְּ֒צֵֽנוּ וְהַצִּילֵֽנוּ מִן־הַגּוֹיִם לְהוֹדוֹת לְשֵׁם קָדְשֶֽׁךָ לְהִשְׁתַּבֵּֽחַ בִּתְהִלָּתֶֽךָ: בָּרוּךְ יְהֹוָה אֱלֹהֵי יִשְׂרָאֵל מִן־הָעוֹלָם וְעַד הָעֹלָם וְאָמַר כָל־הָעָם אָמֵן הַלְ֒לוּיָה. בָּרוּךְ יְהֹוָה מִצִּיּוֹן שֹׁכֵן יְרוּשָׁלָֽיִם הַלְ֒לוּיָהּ: בְּרוּךְ יְהֹוָה אֱלֹהִים אֱלֹהֵי יִשְׂרָאֵל עֹשֵׂה נִפְלָאוֹת לְבַדּוֹ: וּבָרוּךְ שֵׁם כְּבוֹדוֹ לְעוֹלָם וְיִמָּלֵא כְבוֹדוֹ אֶת־כָּל־הָאָרֶץ אָמֵן וְאָמֵן:</t>
        </is>
      </c>
      <c r="F340" s="10" t="inlineStr"/>
      <c r="G340" s="11" t="inlineStr">
        <is>
          <t>Siddur Sefard, Weekday Shacharit, Song of the Day</t>
        </is>
      </c>
      <c r="H340" s="8" t="inlineStr">
        <is>
          <t>The Metsudah siddur, 1981 — CC-BY</t>
        </is>
      </c>
      <c r="I340" s="8" t="inlineStr">
        <is>
          <t>sefaria-siddur-sefard-weekday-shacharit-song-of-the-day</t>
        </is>
      </c>
    </row>
    <row r="341" ht="409" customHeight="1">
      <c r="A341" s="7">
        <f>IF(LEN(TRIM(F341))=0,"Approved","Comment to address")</f>
        <v/>
      </c>
      <c r="B341" s="12" t="inlineStr">
        <is>
          <t>Barchi Nafshi</t>
        </is>
      </c>
      <c r="C341" s="12" t="inlineStr">
        <is>
          <t>daily</t>
        </is>
      </c>
      <c r="D341" s="12" t="inlineStr">
        <is>
          <t>Nusach Sefard</t>
        </is>
      </c>
      <c r="E341" s="13" t="inlineStr">
        <is>
          <t>נוהגין בספרד לומר מזמור ברכי נפשי בראש חדש לפי שיש בו עשה ירח למועדים (טור אורח חיים תכג)
בָּרְ֒כִי נַפְשִׁי אֶת־יְהֹוָה יְהֹוָה אֱלֺהַי גָּדַֽלְתָּ מְאֹד, הוֹד וְהָדָר לָבָֽשְׁתָּ: עֹֽטֶה אוֹר כַּשַּׂלְמָה, נוֹטֶה שָׁמַֽיִם כַּיְ֒רִיעָה: הַמְ֒קָרֶה בַמַּֽיִם עֲלִיּוֹתָיו הַשָּׂם־עָבִים רְכוּבוֹ, הַמְ֒הַלֵּךְ עַל־כַּנְ֒פֵי־רֽוּחַ: עֹשֶׂה מַלְאָכָיו רוּחוֹת, מְשָׁרְ֒תָיו אֵשׁ לֺהֵט: יָסַד אֶֽרֶץ עַל־מְכוֹנֶֽיהָ, בַּל־תִּמּוֹט עוֹלָם וָעֶד:
תְּהוֹם כַּלְּ֒בוּשׁ כִּסִּיתוֹ, עַל־הָרִים יַֽעַמְ֒דוּ מָֽיִם: מִן־גַּעֲרָתְ֒ךָ יְנוּסוּן, מִן־קוֹל רַעַמְ֒ךָ יֵחָפֵזוּן: יַעֲלוּ הָרִים יֵרְ֒דוּ בְקָעוֹת, אֶל־מְקוֹם זֶה יָסַֽדְתָּ לָהֶם: גְּבוּל־שַֽׂמְתָּ בַּל־יַעֲבֹרוּן, בַּל־יְשֻׁבוּן לְכַסּוֹת הָאָֽרֶץ:
הַמְ֒שַׁלֵּֽחַ מַעְיָנִים בַּנְּ֒חָלִים, בֵּין הָרִים יְהַלֵּכוּן: יַשְׁקוּ כָּל־חַיְ֒תוֹ שָׂדָי, יִשְׁבְּרוּ פְרָאִים צְמָאָם: עֲלֵיהֶם עוֹף־הַשָּׁמַֽיִם יִשְׁכּוֹן, מִבֵּין עֳפָאִים יִתְּ֒נוּ־קוֹל: מַשְׁקֶה הָרִים מֵעֲלִיּוֹתָיו, מִפְּ֒רִי מַעֲשֶֽׂיךָ תִּשְׂבַּע הָאָֽרֶץ:
מַצְמִֽיחַ חָצִיר לַבְּ֒הֵמָה וְעֵֽשֶׂב לַעֲבֹדַת הָאָדָם, לְהוֹצִיא לֶֽחֶם מִן־הָאָֽרֶץ: וְיַֽיִן יְשַׂמַּח לְבַב־אֱנוֹשׁ לְהַצְהִיל פָּנִים מִשָּֽׁמֶן, וְלֶֽחֶם לְבַב־אֱנוֹשׁ יִסְעָד: יִשְׂבְּ֒עוּ עֲצֵי יְהֹוָה אַרְ֒זֵי לְבָנוֹן אֲשֶׁר נָטָע: אֲשֶׁר־שָׁם צִפֳּרִים יְקַנֵּֽנוּ, חֲסִידָה בְּרוֹשִׁים בֵּיתָהּ: הָרִים הַגְּ֒בֹהִים לַיְּ֒עֵלִים, סְלָעִים מַחְסֶה לַשְּׁ֒פַנִּים:
עָשָׂה יָרֵֽחַ לְמוֹעֲדִים שֶֽׁמֶשׁ יָדַע מְבוֹאוֹ: תָּֽשֶׁת חֽשֶׁךְ וִיהִי לָֽיְלָה, בּוֹ־תִרְמֹשׂ כָּל־חַֽיְ֒תוֹ־יָֽעַר: הַכְּ֒פִירִים שֹׁאֲגִים לַטָּֽרֶף, וּלְ֒בַקֵּשׁ מֵאֵל אָכְלָם: תִּזְרַח הַשֶּֽׁמֶשׁ יֵאָסֵפוּן, וְאֶל־מְעוֹנֹתָם יִרְבָּצוּן: יֵצֵא אָדָם לְפָעֳלוֹ, וְלַעֲבֹדָתוֹ עֲדֵי־עָֽרֶב:
מָה־רַבּוּ מַעֲשֶֽׂיךָ יְהֹוָה כֻּלָּם בְּחָכְמָה עָשִֽׂיתָ, מָלְ֒אָה הָאָֽרֶץ קִנְיָנֶֽךָ: זֶה הַיָּם גָּדוֹל וּרְ֒חַב יָדָֽיִם שָׁם־רֶֽמֶשׂ וְאֵין מִסְפָּר, חַיּוֹת קְטַנּוֹת עִם־גְּדֹלוֹת: שָׁם אֳנִיּוֹת יְהַלֵּכוּן, לִוְיָתָן זֶה יָצַֽרְתָּ לְשַֽׂחֶק־בּוֹ: כֻּלָּם אֵלֶֽיךָ יְשַׂבֵּרוּן, לָתֵת אָכְלָם בְּעִתּוֹ: תִּתֵּן לָהֶם יִלְקֹטוּן, תִּפְתַּח יָדְ֒ךָ יִשְׂבְּעוּן טוֹב: תַּסְתִּיר פָּנֶֽיךָ יִבָּהֵלוּן תֹּסֵף רוּחָם יִגְוָעוּן, וְאֶל־עֲפָרָם יְשׁוּבוּן: תְּשַׁלַּח רוּחֲךָ יִבָּרֵאוּן, וּתְ֒חַדֵּשׁ פְּנֵי אֲדָמָה:
יְהִי כְבוֹד יְהֹוָה לְעוֹלָם, יִשְׂמַח יְהֹוָה בְּמַעֲשָׂיו: הַמַּבִּיט לָאָֽרֶץ וַתִּרְעָד, יִגַּע בֶּהָרִים וְיֶעֱשָֽׁנוּ: אָשִֽׁירָה לַּיהוָֹה בְּחַיָּי, אֲזַמְּ֒רָה לֵאלֺהַי בְּעוֹדִי: יֶעֱרַב עָלָיו שִׂיחִי, אָנֹכִי אֶשְׂמַח בַּיהוָֹה: יִתַּֽמּוּ חַטָּאִים מִן־הָאָֽרֶץ וּרְ֒שָׁעִים עוֹד אֵינָם בָּרְ֒כִי נַפְשִׁי אֶת־יְהֹוָה הַלְ֒לוּיָהּ:
(הושיענו וכו'. קדיש יתום.)</t>
        </is>
      </c>
      <c r="F341" s="10" t="inlineStr"/>
      <c r="G341" s="14" t="inlineStr">
        <is>
          <t>Siddur Sefard, Weekday Shacharit, Barchi Nafshi</t>
        </is>
      </c>
      <c r="H341" s="12" t="inlineStr">
        <is>
          <t>The Metsudah siddur, 1981 — CC-BY</t>
        </is>
      </c>
      <c r="I341" s="12" t="inlineStr">
        <is>
          <t>sefaria-siddur-sefard-weekday-shacharit-barchi-nafshi</t>
        </is>
      </c>
    </row>
    <row r="342" ht="409" customHeight="1">
      <c r="A342" s="7">
        <f>IF(LEN(TRIM(F342))=0,"Approved","Comment to address")</f>
        <v/>
      </c>
      <c r="B342" s="8" t="inlineStr">
        <is>
          <t>L'David Hashem</t>
        </is>
      </c>
      <c r="C342" s="8" t="inlineStr">
        <is>
          <t>daily</t>
        </is>
      </c>
      <c r="D342" s="8" t="inlineStr">
        <is>
          <t>Nusach Sefard</t>
        </is>
      </c>
      <c r="E342" s="9" t="inlineStr">
        <is>
          <t>מנהג טוב לומר אחר כל תפלה מזמור לדוד ה׳‬ אורי וישעי. ובפרט מר״ח אלול עד הושענא רבא (מורה באצבע סי' לז).
לְדָוִד יְהֹוָה אוֹרִי וְיִשְׁעִי מִמִּי אִירָא יְהֹוָה מָעוֹז חַיַּי מִמִּי אֶפְחָד: בִּקְ֒רֹב עָלַי מְרֵעִים לֶאֱכֹל אֶת בְּשָׂרִי צָרַי וְאֹיְ֒בַי לִי הֵֽמָּה כָשְׁ֒לוּ וְנָפָֽלוּ: אִם תַּחֲנֶה עָלַי מַחֲנֶה לֺא יִירָא לִבִּי אִם תָּקוּם עָלַי מִלְחָמָה בְּזֹאת אֲנִי בוֹטֵֽחַ: אַחַת שָׁאַֽלְתִּי מֵאֵת יְהֹוָה אוֹתָהּ אֲבַקֵּשׁ שִׁבְתִּי בְּבֵית יְהֹוָה כָּל יְמֵי חַיַּי לַחֲזוֹת בְּנֹֽעַם יְהֹוָה וּלְ֒בַקֵּר בְּהֵיכָלוֹ: כִּי יִצְפְּ֒נֵֽנִי בְּסֻכֹּה בְּיוֹם רָעָה יַסְתִּרֵֽנִי בְּסֵֽתֶר אָהֳלוֹ בְּצוּר יְרוֹמְ֒מֵֽנִי: וְעַתָּה יָרוּם רֹאשִׁי עַל אֹיְ֒בַי סְבִיבוֹתָי וְאֶזְבְּחָה בְאָהֳלוֹ זִבְחֵי תְרוּעָה אָשִֽׁירָה וַאֲזַמְּ֒רָה לַיהוָֹה: שְׁמַע יְהֹוָה קוֹלִי אֶקְרָא וְחָנֵּֽנִי וַעֲנֵֽנִי: לְךָ אָמַר לִבִּי בַּקְּ֒שׁוּ פָנָי אֶת פָּנֶֽיךָ יְהֹוָה אֲבַקֵּשׁ: אַל תַּסְתֵּר פָּנֶֽיךָ מִמֶּֽנִּי אַל תַּט בְּאַף עַבְדֶּֽךָ עֶזְרָתִי הָיִֽיתָ אַל תִּטְּ֒שֵֽׁנִי וְאַל תַּעַזְ֒בֵֽנִי אֱלֺהֵי יִשְׁעִי: כִּי אָבִי וְאִמִּי עֲזָבֽוּנִי וַיהוָֹה יַאַסְ֒פֵֽנִי: הוֹרֵֽנִי יְהֹוָה דַּרְכֶּֽךָ וּנְ֒חֵֽנִי בְּאֹֽרַח מִישׁוֹר לְמַֽעַן שׁוֹרְ֒רָי: אַל תִּתְּ֒נֵֽנִי בְּנֶֽפֶשׁ צָרָי כִּי קָֽמוּ בִי עֵֽדֵי שֶֽׁקֶר וִיפֵֽחַ חָמָס: לוּלֵא הֶאֱמַֽנְתִּי לִרְאוֹת בְּטוּב יְהֹוָה בְּאֶֽרֶץ חַיִּים: קַוֵּה אֶל יְהֹוָה חֲזַק וְיַאֲמֵץ לִבֶּךָ וְקַוֵּה אֶל יְהֹוָה:
(קדיש יתום)
בבית האבל בבוקר אחר שיר של יום ואחר מנחה בימים שיש בהם תחנון אומרים זה:
לַמְנַצֵּֽחַ לִבְנֵי קֹֽרַח מִזְמוֹר: שִׁמְ֒עוּ זֹאת כָּל־הָעַמִּים הַאֲזִֽינוּ כָּל יֽשְׁ֒בֵי חָֽלֶד: גַּם בְּנֵי אָדָם גַּם בְּנֵי אִישׁ יַֽחַד עָשִׁיר וְאֶבְיוֹן: פִּי יְדַבֵּר חָכְמוֹת וְהָגוּת לִבִּי תְבוּנוֹת: אַטֶּה לְמָשָׁל אָזְנִי אֶפְתַּח בְּכִנּוֹר חִידָתִי: לָֽמָּה אִירָא בִּֽימֵי רָע עֲוֹן עֲקֵבַי יְסוּבֵּֽנִי: הַבֹּטְ֒חִים עַל חֵילָם וּבְ֒רֹב עָשְׁרָם יִתְהַלָּֽלוּ: אָח לֺא פָדֹה יִפְדֶּה אִישׁ לֺא יִתֵּן לֵאלֺהִים כָּפְרוֹ: וְיֵקַר פִּדְיוֹן נַפְשָׁם וְחָדַל לְעוֹלָם: וִיחִי עוֹד לָנֶֽצַח לֺא יִרְאֶה הַשָּֽׁחַת: כִּי יִרְאֶה חֲכָמִים יָמֽוּתוּ יַֽחַד כְּסִיל וָבַֽעַר יֹאבֵֽדוּ וְעָזְ֒בוּ לַאֲחֵרִים חֵילָם: קִרְבָּם בָּתֵּֽימוֹ לְעוֹלָם מִשְׁכְּ֒נֹתָם לְדוֹר וָדֹר קָרְ֒אוּ בִשְׁמוֹתָם עֲלֵי אֲדָמוֹת: וְאָדָם בִּיקָר בַּל־יָלִין נִמְשַׁל כַּבְּ֒הֵמוֹת נִדְמוּ: זֶה דַרְכָּם כֶּֽסֶל לָֽמוֹ וְאַחֲרֵיהֶם בְּפִיהֶם יִרְצוּ סֶֽלָה: כַּצֹּאן לִשְׁ֒אוֹל שַׁתּוּ מָֽוֶת יִרְעֵם וַיִּרְדּוּ בָם יְשָׁרִים לַבֹּֽקֶר וְצוּרָם לְבַלּוֹת שְׁאוֹל מִזְּ֒בֻל לוֹ: אַךְ־אֱלֺהִים יִפְדֶּה נַפְשִׁי מִיַּד שְׁאוֹל כִּי יִקָּחֵֽנִי סֶֽלָה: אַל־תִּירָא כִּי־יַעֲשִׁר אִישׁ כִּי־יִרְבֶּה כְּבוֹד בֵּיתוֹ: כִּי לֺא בְמוֹתוֹ יִקַּח הַכֹּל לֺא־יֵרֵד אַחֲרָיו כְּבוֹדוֹ: כִּי־נַפְשׁוֹ בְּחַיָּיו יְבָרֵךְ וְיוֹדֻֽךָ כִּי־תֵיטִיב לָךְ: תָּבוֹא עַד־דּוֹר אֲבוֹתָיו עַד־נֵֽצַח לֺא יִרְאוּ אוֹר: אָדָם בִּיקָר וְלֺא־יָבִין נִמְשַׁל כַּבְּ֒הֵמוֹת נִדְמוּ:
(קדיש יתום)
ובימים שאין בהם תחנון אומרים זה:
מִכְתָּם לְדָוִד שָׁמְרֵֽנִי אֵל כִּי־חָסִֽיתִי בָךְ: אָמַֽרְתְּ לַיהֺוָה אֲדֹנָי אָֽתָּה טוֹבָתִי בַּל־עָלֶֽיךָ: לִקְדוֹשִׁים אֲשֶׁר־בָּאָֽרֶץ הֵֽמָּה וְאַדִּירֵי כָּל־חֶפְצִי־בָם: יִרְבּוּ עַצְּבוֹתָם אַחֵר מָהָֽרוּ בַּל־אַסִּיךְ נִסְכֵּיהֶם מִדָּם וּבַל־אֶשָּׂא אֶת־שְׁמוֹתָם עַל־שְׂפָתָי: יְהֺוָה מְנָת־חֶלְקִי וְכוֹסִי אַתָּה תּוֹמִיךְ גּוֹרָלִי: חֲבָלִים נָֽפְלוּ־לִי בַּנְּעִמִים אַף־נַחֲלָת שָׁפְרָה עָלָי: אֲבָרֵךְ אֶת־יְהֺוָה אֲשֶׁר יְעָצָֽנִי אַף־לֵילוֹת יִסְּרֽוּנִי כִלְיוֹתָי: שִׁוִּיתִי יְהֺוָה לְנֶגְדִּי תָמִיד כִּי מִימִינִי בַּל־אֶמּוֹט: לָכֵן שָׂמַח לִבִּי וַיָּֽגֶל כְּבוֹדִי אַף־בְּשָׂרִי יִשְׁכֹּן לָבֶֽטַח: כִּי לֹא־תַעֲזֹב נַפְשִׁי לִשְׁאוֹל לֹא־תִתֵּן חֲסִידְךָ לִרְאוֹת שָֽׁחַת: תּוֹדִיעֵֽנִי אֹֽרַח חַיִּים שֽׂבַע שְׂמָחוֹת אֶת־פָּנֶֽיךָ נְעִימוֹת בִּימִינְךָ נֶֽצַח:
קדיש יתום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יְהֵא שְׁלָמָא רַבָּא מִן שְׁמַיָּא וְחַיִּים עָלֵֽינוּ וְעַל כָּל יִשְׂרָאֵל וְאִמְרוּ אָמֵן:
עוֹשֶׂה שָׁלוֹם (בעשי"ת הַשָּׁלוֹם) בִּמְרוֹמָיו הוּא יַעֲשֶׂה שָׁלוֹם עָלֵינוּ וְעַל כָּל יִשְׂרָאֵל וְאִמְרוּ אָמֵן:</t>
        </is>
      </c>
      <c r="F342" s="10" t="inlineStr"/>
      <c r="G342" s="11" t="inlineStr">
        <is>
          <t>Siddur Sefard, Weekday Shacharit, L'David Hashem</t>
        </is>
      </c>
      <c r="H342" s="8" t="inlineStr">
        <is>
          <t>The Metsudah siddur, 1981 — CC-BY</t>
        </is>
      </c>
      <c r="I342" s="8" t="inlineStr">
        <is>
          <t>sefaria-siddur-sefard-weekday-shacharit-l-david-hashem</t>
        </is>
      </c>
    </row>
    <row r="343" ht="409" customHeight="1">
      <c r="A343" s="7">
        <f>IF(LEN(TRIM(F343))=0,"Approved","Comment to address")</f>
        <v/>
      </c>
      <c r="B343" s="12" t="inlineStr">
        <is>
          <t>Kaveh</t>
        </is>
      </c>
      <c r="C343" s="12" t="inlineStr">
        <is>
          <t>daily</t>
        </is>
      </c>
      <c r="D343" s="12" t="inlineStr">
        <is>
          <t>Nusach Sefard</t>
        </is>
      </c>
      <c r="E343" s="13" t="inlineStr">
        <is>
          <t>קַוֵּה אֶל יְהֹוָה חֲזַק וְיַאֲמֵץ לִבֶּךָ וְקַוֵּה אֶל יְהֹוָה: אֵין קָדוֹשׁ כַּיהֹוָה כִּי אֵין בִּלְתֶּךָ וְאֵין צוּר כֵּאלֹהֵינוּ: כִּי מִי אֱלוֹהַּ מִבַּלְעֲדֵי יְהֹוָה וּמִי צוּר זוּלָתִי אֱלֹהֵינוּ:
אֵין כֵּאלֹהֵינוּ. אֵין כַּאדוֹנֵנוּ. אֵין כְּמַלְכֵּנוּ. אֵין כְּמוֹשִׁיעֵנוּ: מִי כֵאלֹהֵינוּ. מִי כַאדוֹנֵנוּ. מִי כְמַלְכֵּנוּ. מִי כְמוֹשִׁיעֵנוּ: נוֹדֶה לֵאלֹהֵינוּ. נוֹדֶה לַאדוֹנֵנוּ. נוֹדֶה לְמַלְכֵּנוּ. נוֹדֶה לְמוֹשִׁיעֵנוּ: בָּרוּךְ אֱלֹהֵינוּ. בָּרוּךְ אֲדוֹנֵנוּ. בָּרוּךְ מַלְכֵּנוּ. בָּרוּךְ מוֹשִׁיעֵנוּ: אַתָּה הוּא אֱלֹהֵינוּ. אַתָּה הוּא אֲדוֹנֵנוּ. אַתָּה הוּא מַלְכֵּנוּ. אַתָּה הוּא מוֹשִׁיעֵנוּ. אַתָּה תוֹשִׁיעֵנוּ. אַתָּה תָקוּם תְּרַחֵם צִיוֹן כִּי עֵת לְחֶנְנָה כִּי בָא מוֹעֵד:
פִּטּוּם הַקְּ֒טֺרֶת הַצֳּרִי וְהַצִּפֹּרֶן הַחֶלְ֒בְּנָה וְהַלְּבוֹנָה מִשְׁקַל שִׁבְעִים שִׁבְעִים מָנָה. מוֹר וּקְ֒צִיעָה שִׁבֹּלֶת נֵרְדְּ וְכַרְכֹּם מִשְׁקַל שִׁשָּׁה עָשָׂר שִׁשָּׁה עָשָׂר מָנֶה. הַקּשְׁטְ שְׁנֵים עָשָׂר וְקִלּוּפָה שְׁלֹשָׁה וְקִנָּמוֹן תִּשְׁעָה. בֹּרִית כַּרְשִׁינָה תִּשְׁעָה קַבִּין. יֵין קַפְרִיסִין סְאִין תְּלָתָא וְקַבִּין תְּלָתָא. וְאִם אֵין לוֹ יֵין קַפְרִיסִין מֵבִיא חֲמַר חִוַּרְיָן עַתִּיק. מֶלַח סְדוֹמִית רֹבַע הַקָב. מַעֲלֶה עָשָׁן כָּל שֶׁהוּא. רַבִּי נָתָן הַבַּבְלִי אוֹמֵר אַף כִּפַּת הַיַּרְדֵּן כָּל שֶׁהוּא. וְאִם נָתַן בָּהּ דְּבַשׁ פְּסָלָהּ וְאִם חִסַּר אַחַת מִכָּל סַמָּנֶיהָ חַיָּב מִיתָה:
רַבָּן שִׁמְעוֹן בֶּן גַּמְלִיאֵל אוֹמֵר הַצֳּרִי אֵינוֹ אֶלָּא שְׂרָף הַנּוֹטֵף מֵעֲצֵי הַקְּ֒טָף. בֹּרִית כַּרְשִׁינָה לָמָּה הִיא בָאָה כְּדֵי לְיַפּוֹת בָּהּ אֶת הַצִּפֹּרֶן כְּדֵי שֶׁתְּ֒הֵא נָאָה. יֵין קַפְרִיסִין לָמָּה הוּא בָא כְּדֵי לִשְׁרוֹת בּוֹ אֶת הַצִּפֹּרֶן כְּדֵי שֶׁתְּ֒הֵא עַזָּה. וַהֲלֹא מֵי רַגְלַיִם יָפִין לָהּ אֶלָּא שֶׁאֵין מַכְנִיסִין מֵי רַגְלַיִם בַּמִּקְדָּשׁ מִפְּ֒נֵי הַכָּבוֹד:
תַּנְיָא רַבִּי נָתָן אוֹמֵר כְּשֶׁהוּא שׁוֹחֵק אוֹמֵר הָדֵק הֵיטֵב הֵיטֵב הָדֵק מִפְּ֒נֵי שֶׁהַקּוֹל יָפֶה לַבְּ֒שָׂמִים, פִּטְּ֒מָהּ לַחֲצָאִין כְּשֵׁרָה לִשְׁלִישׁ וְלִרְבִֽיעַ לֹא שָׁמַֽעְנוּ: אָמַר רַבִּי יְהוּדָה זֶה הַכְּ֒לָל אִם כְּמִדָּתָהּ כְּשֵׁרָה לַחֲצָאִין וְאִם חִסַּר אַחַת מִכָּל סַמָּנֶֽיהָ חַיָּב מִיתָה:
תַּנְיָא בַּר קַפָּרָא אוֹמֵר אַחַת לְשִׁשִּׁים אוֹ לְשִׁבְעִים שָׁנָה הָיְ֒תָה בָאָה שֶׁל שִׁירַֽיִם לַחֲצָאִין: וְעוֹד תָּנֵי בַּר קַפָּרָא אִלּוּ הָיָה נוֹתֵן בָּהּ קוֹרְ֒טוֹב שֶׁל דְּבַשׁ אֵין אָדָם יָכוֹל לַעֲמֹד מִפְּ֒נֵי רֵיחָהּ וְלָֽמָּה אֵין מְעָרְ֒בִין בָּהּ דְּבַשׁ מִפְּ֒נֵי שֶׁהַתּוֹרָה אָמְ֒רָה כִּי כָל־שְׂאֹר וְכָל־דְּבַשׁ לֹא־תַקְטִֽירוּ מִמֶּֽנּוּ אִשֶּׁה לַיהוָֹה:
אומר ג' פעמים:
יְהֹוָה צְבָאוֹת עִמָּֽנוּ מִשְׂגַּב־לָֽנוּ אֱלֹהֵי יַעֲקֹב סֶֽלָה: יְהֹוָה צְבָאוֹת אַשְׁרֵי אָדָם בֹּטֵֽחַ בָּךְ: יְהֹוָה הוֹשִֽׁיעָה הַמֶּֽלֶךְ יַעֲנֵֽנוּ בְיוֹם־קָרְאֵֽנוּ:
אַתָּה סֵֽתֶר לִי מִצַּר תִּצְּ֒רֵֽנִי רָנֵּי פַלֵּט תְּסוֹבְ֒בֵֽנִי סֶֽלָה: וְעָרְ֒בָה לַיהוָֹה מִנְחַת יְהוּדָה וִירוּשָׁלָֽםִ כִּימֵי עוֹלָם וּכְשָׁנִים קַדְמֹנִיּוֹת:
תָּנָא דְבֵי אֵלִיָּֽהוּ כָּל הַשּׁוֹנֶה הֲלָכוֹת בְּכָל יוֹם מֻבְטָח לוֹ שֶׁהוּא בֶּן עוֹלָם הַבָּא שֶׁנֶּאֱמַר הֲלִיכוֹת עוֹלָם לוֹ אַל תִּקְרֵי הֲלִיכוֹת אֶלָּא הֲלָכוֹת:
אָמַר רַבִּי אֶלְעָזָר אָמַר רַבִּי חֲנִינָא. תַּלְמִידֵי חֲכָמִים מַרְבִּים שָׁלוֹם בָּעוֹלָם. שֶׁנֶּאֱמַר וְכָל בָּנַֽיִךְ לִמּוּדֵי יְהֹוָה וְרַב שְׁלוֹם בָּנָֽיךְ: אַל תִּקְרֵי בָּנָֽיךְ אֶלָּא בּוֹנָֽיךְ: שָׁלוֹם רָב לְאֹהֲבֵי תוֹרָתֶֽךָ וְאֵין לָֽמוֹ מִכְשׁוֹל: יְהִי שָׁלוֹם בְּחֵילֵךְ שַׁלְוָה בְּאַרְמְּנוֹתָֽיךְ לְמַֽעַן אַחַי וְרֵעָי אֲדַבְּרָה נָא שָׁלוֹם בָּךְ: לְמַֽעַן בֵּית יְהֹוָה אֱלֹהֵֽינוּ אֲבַקְ֒שָׁה טוֹב לָךְ: יְהֹוָה עֹז לְעַמּוֹ יִתֵּן יְהֹוָה יְבָרֵךְ אֶת עַמּוֹ בַשָּׁלוֹם:
קדיש דרבנן: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 שְׁמַיָּא וְחַיִּים טוֹבִים עָלֵֽינוּ וְעַל כָּל יִשְׂרָאֵל וְאִמְרוּ אָמֵן:
עוֹשֶׂה שָׁלוֹם (בעשי"ת הַשָּׁלוֹם) בִּמְרוֹמָיו הוּא בְּרַחֲמָיו יַעֲשֶׂה שָׁלוֹם עָלֵֽינוּ וְעַל כָּל יִשְׂרָאֵל וְאִמְרוּ אָמֵן:</t>
        </is>
      </c>
      <c r="F343" s="10" t="inlineStr"/>
      <c r="G343" s="14" t="inlineStr">
        <is>
          <t>Siddur Sefard, Weekday Shacharit, Kaveh</t>
        </is>
      </c>
      <c r="H343" s="12" t="inlineStr">
        <is>
          <t>The Metsudah siddur, 1981 — CC-BY</t>
        </is>
      </c>
      <c r="I343" s="12" t="inlineStr">
        <is>
          <t>sefaria-siddur-sefard-weekday-shacharit-kaveh</t>
        </is>
      </c>
    </row>
    <row r="344" ht="409" customHeight="1">
      <c r="A344" s="7">
        <f>IF(LEN(TRIM(F344))=0,"Approved","Comment to address")</f>
        <v/>
      </c>
      <c r="B344" s="8" t="inlineStr">
        <is>
          <t>Aleinu</t>
        </is>
      </c>
      <c r="C344" s="8" t="inlineStr">
        <is>
          <t>daily</t>
        </is>
      </c>
      <c r="D344" s="8" t="inlineStr">
        <is>
          <t>Nusach Sefard</t>
        </is>
      </c>
      <c r="E344" s="9" t="inlineStr">
        <is>
          <t>אחר כל התפלות אומר עלינו לשבח. בפרק ר׳ אליעזר אומר שבח גדול יש בעלינו לשבח על כן צריך לאומרו מעומד ותמצא עלינו עולה בגימטריא ומעומד. ושמעתי שיהושע תקנו בשעה שכבש יריחו וחתם בו שם קטנותו למפרע. (כל בו)
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(וְ)עַל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
כתב הלבוש בסי קל"ג אחר עלינו אומרים קדיש יתום. ואפילו אין יתום של תוך י"ב חודש בבית הכנסת יאמר אותו אחר מי שאין לו אב ואם. והטעם שהרי לעולם צריכין לומר קדיש אחר שאמרו פסוקים. ובעלינו יש גם כן פסוקים וצריכים קדיש אחריו. אלא שנהגו בקדיש זה להניחו ליתום שמת אביו ואמו תוך שנה זו. מפני שיש יתומים קטנים או אפילו גדולים שאינם יכולין להיות שלוחי ציבור ולומר קדיש וברכו אחר אביו ואמו. וכבר ידענו ממעשה דרבי עקיבא [במס' כלה רבתי פ"ב] תועלת הגדולה שיש למתים כשיש להם בן האומר קדיש וברכו ויותר בתוך שנה ראשונה. לכך תקנו והניחו קדיש זה. שאין צריך שום דבר יותר ליתומים הן קטנים הן גדולים. ומפני שתקנוהו ליתומים אין נוהגין לאמרו כלל מי שיש לו אב או אם שמא אביו או אמו יקפידו בכך משום אל יפתח אדם פיו לשטן ויאמר אתה מקוה למיתתנו. לפיכך אם אין אביו או אמו מקפידין בכך יכול לאומרו אפילו מי שיש לו אב ואם. ע"כ.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יְהֵא שְׁלָמָא רַבָּא מִן שְׁמַיָּא וְחַיִּים עָלֵֽינוּ וְעַל כָּל יִשְׂרָאֵל וְאִמְרוּ אָמֵן:
עוֹשֶׂה שָׁלוֹם (בעשי"ת הַשָּׁלוֹם) בִּמְרוֹמָיו הוּא יַעֲשֶׂה שָׁלוֹם עָלֵינוּ וְעַל כָּל יִשְׂרָאֵל וְאִמְרוּ אָמֵן</t>
        </is>
      </c>
      <c r="F344" s="10" t="inlineStr"/>
      <c r="G344" s="11" t="inlineStr">
        <is>
          <t>Siddur Sefard, Weekday Shacharit, Aleinu</t>
        </is>
      </c>
      <c r="H344" s="8" t="inlineStr">
        <is>
          <t>The Metsudah siddur, 1981 — CC-BY</t>
        </is>
      </c>
      <c r="I344" s="8" t="inlineStr">
        <is>
          <t>sefaria-siddur-sefard-weekday-shacharit-aleinu</t>
        </is>
      </c>
    </row>
    <row r="345" ht="409" customHeight="1">
      <c r="A345" s="7">
        <f>IF(LEN(TRIM(F345))=0,"Approved","Comment to address")</f>
        <v/>
      </c>
      <c r="B345" s="12" t="inlineStr">
        <is>
          <t>Chapter of Fear of God</t>
        </is>
      </c>
      <c r="C345" s="12" t="inlineStr">
        <is>
          <t>source</t>
        </is>
      </c>
      <c r="D345" s="12" t="inlineStr">
        <is>
          <t>Nusach Sefard</t>
        </is>
      </c>
      <c r="E345" s="13" t="inlineStr">
        <is>
          <t>וְעַתָּה֙ יִשְׂרָאֵ֔ל מָ֚ה יְהוָ֣ה אֱלֹהֶ֔יךָ שֹׁאֵ֖ל מֵעִמָּ֑ךְ כִּ֣י אִם־לְ֠יִרְאָה אֶת־יְהוָ֨ה אֱלֹהֶ֜יךָ לָלֶ֤כֶת בְּכָל־דְּרָכָיו֙ וּלְאַהֲבָ֣ה אֹת֔וֹ וְלַֽעֲבֹד֙ אֶת־יְהוָ֣ה אֱלֹהֶ֔יךָ בְּכָל־לְבָבְךָ֖ וּבְכָל־נַפְשֶֽׁךָ׃ לִשְׁמֹ֞ר אֶת־מִצְוֺ֤ת יְהוָה֙ וְאֶת־חֻקֹּתָ֔יו אֲשֶׁ֛ר אָנֹכִ֥י מְצַוְּךָ֖ הַיּ֑וֹם לְט֖וֹב לָֽךְ׃ הֵ֚ן לַיהוָ֣ה אֱלֹהֶ֔יךָ הַשָּׁמַ֖יִם וּשְׁמֵ֣י הַשָּׁמָ֑יִם הָאָ֖רֶץ וְכָל־אֲשֶׁר־בָּֽהּ׃ רַ֧ק בַּאֲבֹתֶ֛יךָ חָשַׁ֥ק יְהוָ֖ה לְאַהֲבָ֣ה אוֹתָ֑ם וַיִּבְחַ֞ר בְּזַרְעָ֣ם אַחֲרֵיהֶ֗ם בָּכֶ֛ם מִכָּל־הָעַמִּ֖ים כַּיּ֥וֹם הַזֶּה׃ וּמַלְתֶּ֕ם אֵ֖ת עָרְלַ֣ת לְבַבְכֶ֑ם וְעָ֨רְפְּכֶ֔ם לֹ֥א תַקְשׁ֖וּ עֽוֹד׃ כִּ֚י יְהוָ֣ה אֱלֹֽהֵיכֶ֔ם ה֚וּא אֱלֹהֵ֣י הָֽאֱלֹהִ֔ים וַאֲדֹנֵ֖י הָאֲדֹנִ֑ים הָאֵ֨ל הַגָּדֹ֤ל הַגִּבֹּר֙ וְהַנּוֹרָ֔א אֲשֶׁר֙ לֹא־יִשָּׂ֣א פָנִ֔ים וְלֹ֥א יִקַּ֖ח שֹֽׁחַד׃ עֹשֶׂ֛ה מִשְׁפַּ֥ט יָת֖וֹם וְאַלְמָנָ֑ה וְאֹהֵ֣ב גֵּ֔ר לָ֥תֶת ל֖וֹ לֶ֥חֶם וְשִׂמְלָֽה׃ וַאֲהַבְתֶּ֖ם אֶת־הַגֵּ֑ר כִּֽי־גֵרִ֥ים הֱיִיתֶ֖ם בְּאֶ֥רֶץ מִצְרָֽיִם׃ אֶת־יְהוָ֧ה אֱלֹהֶ֛יךָ תִּירָ֖א אֹת֣וֹ תַעֲבֹ֑ד וּב֣וֹ תִדְבָּ֔ק וּבִשְׁמ֖וֹ תִּשָּׁבֵֽעַ׃ ה֥וּא תְהִלָּתְךָ֖ וְה֣וּא אֱלֹהֶ֑יךָ אֲשֶׁר־עָשָׂ֣ה אִתְּךָ֗ אֶת־הַגְּדֹלֹ֤ת וְאֶת־הַנּֽוֹרָאֹת֙ הָאֵ֔לֶּה אֲשֶׁ֥ר רָא֖וּ עֵינֶֽיךָ׃ בְּשִׁבְעִ֣ים נֶ֔פֶשׁ יָרְד֥וּ אֲבֹתֶ֖יךָ מִצְרָ֑יְמָהּ וְעַתָּ֗ה שָֽׂמְךָ֙ יְהוָ֣ה אֱלֹהֶ֔יךָ כְּכוֹכְבֵ֥י הַשָּׁמַ֖יִם לָרֹֽב׃ וְאָ֣הַבְתָּ֔ אֵ֖ת יְהוָ֣ה אֱלֹהֶ֑יךָ וְשָׁמַרְתָּ֣ מִשְׁמַרְתּ֗וֹ וְחֻקֹּתָ֧יו וּמִשְׁפָּטָ֛יו וּמִצְוֺתָ֖יו כָּל־הַיָּמִֽים׃ וִֽידַעְתֶּם֮ הַיּוֹם֒ כִּ֣י ׀ לֹ֣א אֶת־בְּנֵיכֶ֗ם אֲשֶׁ֤ר לֹֽא־יָדְעוּ֙ וַאֲשֶׁ֣ר לֹא־רָא֔וּ אֶת־מוּסַ֖ר יְהוָ֣ה אֱלֹהֵיכֶ֑ם אֶת־גָּדְל֕וֹ אֶת־יָדוֹ֙ הַחֲזָקָ֔ה וּזְרֹע֖וֹ הַנְּטוּיָֽה׃ וְאֶת־אֹֽתֹתָיו֙ וְאֶֽת־מַעֲשָׂ֔יו אֲשֶׁ֥ר עָשָׂ֖ה בְּת֣וֹךְ מִצְרָ֑יִם לְפַרְעֹ֥ה מֶֽלֶךְ־מִצְרַ֖יִם וּלְכָל־אַרְצֽוֹ׃ וַאֲשֶׁ֣ר עָשָׂה֩ לְחֵ֨יל מִצְרַ֜יִם לְסוּסָ֣יו וּלְרִכְבּ֗וֹ אֲשֶׁ֨ר הֵצִ֜יף אֶת־מֵ֤י יַם־סוּף֙ עַל־פְּנֵיהֶ֔ם בְּרָדְפָ֖ם אַחֲרֵיכֶ֑ם וַיְאַבְּדֵ֣ם יְהוָ֔ה עַ֖ד הַיּ֥וֹם הַזֶּֽה׃ וַאֲשֶׁ֥ר עָשָׂ֛ה לָכֶ֖ם בַּמִּדְבָּ֑ר עַד־בֹּאֲכֶ֖ם עַד־הַמָּק֥וֹם הַזֶּֽה׃ וַאֲשֶׁ֨ר עָשָׂ֜ה לְדָתָ֣ן וְלַאֲבִירָ֗ם בְּנֵ֣י אֱלִיאָב֮ בֶּן־רְאוּבֵן֒ אֲשֶׁ֨ר פָּצְתָ֤ה הָאָ֙רֶץ֙ אֶת־פִּ֔יהָ וַתִּבְלָעֵ֥ם וְאֶת־בָּתֵּיהֶ֖ם וְאֶת־אָהֳלֵיהֶ֑ם וְאֵ֤ת כָּל־הַיְקוּם֙ אֲשֶׁ֣ר בְּרַגְלֵיהֶ֔ם בְּקֶ֖רֶב כָּל־יִשְׂרָאֵֽל׃ כִּ֤י עֵֽינֵיכֶם֙ הָֽרֹאֹ֔ת אֶת־כָּל־מַעֲשֵׂ֥ה יְהוָ֖ה הַגָּדֹ֑ל אֲשֶׁ֖ר עָשָֽׂה׃ וּשְׁמַרְתֶּם֙ אֶת־כָּל־הַמִּצְוָ֔ה אֲשֶׁ֛ר אָנֹכִ֥י מְצַוְּךָ֖ הַיּ֑וֹם לְמַ֣עַן תֶּחֶזְק֗וּ וּבָאתֶם֙ וִֽירִשְׁתֶּ֣ם אֶת־הָאָ֔רֶץ אֲשֶׁ֥ר אַתֶּ֛ם עֹבְרִ֥ים שָׁ֖מָּה לְרִשְׁתָּֽהּ׃ וּלְמַ֨עַן תַּאֲרִ֤יכוּ יָמִים֙ עַל־הָ֣אֲדָמָ֔ה אֲשֶׁר֩ נִשְׁבַּ֨ע יְהוָ֧ה לַאֲבֹתֵיכֶ֛ם לָתֵ֥ת לָהֶ֖ם וּלְזַרְעָ֑ם אֶ֛רֶץ זָבַ֥ת חָלָ֖ב וּדְבָֽשׁ׃
אין אומרים בשבת ויו"ט:
יְהִי רָצוֹן מִלְּ֒פָנֶֽיךָ יְהֺוָה אֱלֹהַי וֵאלֹהֵי אֲבוֹתַי שֶׁתִּטַּע אַהֲבָתְ֒ךָ וְיִרְאָתְ֒ךָ בְּלִבִּי וּבְלֵב כָּל יִשְׂרָאֵל עַמֶּֽךָ לְיִרְאָה אֶת שִׁמְךָ הַגָּדוֹל הַגִּבוֹר וְהַנּוֹרָא בְּכָל לְבָבֵֽנוּ וּבְכָל נַפְשֵֽׁנוּ, יִרְאַת הָרוֹמְ֒מוּת שֶׁל אֵין סוֹֺף בָּרוּךְ וְיִתעַלֶּה שִׁמְךָ, כִּי גָדוֹל אַתָּה וְנוֹרָא שְׁמֶֽךָ. אָמֵן, סֶֽלָה:</t>
        </is>
      </c>
      <c r="F345" s="10" t="inlineStr"/>
      <c r="G345" s="14" t="inlineStr">
        <is>
          <t>Siddur Sefard, Additional Prayers , Chapter of Fear of God</t>
        </is>
      </c>
      <c r="H345" s="12" t="inlineStr">
        <is>
          <t>The Metsudah siddur, 1981 — CC-BY</t>
        </is>
      </c>
      <c r="I345" s="12" t="inlineStr">
        <is>
          <t>sefaria-siddur-sefard-additional-prayers-chapter-of-fear-of-god</t>
        </is>
      </c>
    </row>
    <row r="346" ht="409" customHeight="1">
      <c r="A346" s="7">
        <f>IF(LEN(TRIM(F346))=0,"Approved","Comment to address")</f>
        <v/>
      </c>
      <c r="B346" s="8" t="inlineStr">
        <is>
          <t>Chapter of Repentance</t>
        </is>
      </c>
      <c r="C346" s="8" t="inlineStr">
        <is>
          <t>repentance</t>
        </is>
      </c>
      <c r="D346" s="8" t="inlineStr">
        <is>
          <t>Nusach Sefard</t>
        </is>
      </c>
      <c r="E346" s="9" t="inlineStr">
        <is>
          <t>וְהָיָה֩ כִֽי־יָבֹ֨אוּ עָלֶ֜יךָ כָּל־הַדְּבָרִ֣ים הָאֵ֗לֶּה הַבְּרָכָה֙ וְהַקְּלָלָ֔ה אֲשֶׁ֥ר נָתַ֖תִּי לְפָנֶ֑יךָ וַהֲשֵׁבֹתָ֙ אֶל־לְבָבֶ֔ךָ בְּכָל־הַגּוֹיִ֔ם אֲשֶׁ֧ר הִדִּיחֲךָ֛ יְהוָ֥ה אֱלֹהֶ֖יךָ שָֽׁמָּה׃ וְשַׁבְתָּ֞ עַד־יְהוָ֤ה אֱלֹהֶ֙יךָ֙ וְשָׁמַעְתָּ֣ בְקֹל֔וֹ כְּכֹ֛ל אֲשֶׁר־אָנֹכִ֥י מְצַוְּךָ֖ הַיּ֑וֹם אַתָּ֣ה וּבָנֶ֔יךָ בְּכָל־לְבָבְךָ֖ וּבְכָל־נַפְשֶֽׁךָ׃ וְשָׁ֨ב יְהוָ֧ה אֱלֹהֶ֛יךָ אֶת־שְׁבוּתְךָ֖ וְרִחֲמֶ֑ךָ וְשָׁ֗ב וְקִבֶּצְךָ֙ מִכָּל־הָ֣עַמִּ֔ים אֲשֶׁ֧ר הֱפִֽיצְךָ֛ יְהוָ֥ה אֱלֹהֶ֖יךָ שָֽׁמָּה׃ אִם־יִהְיֶ֥ה נִֽדַּחֲךָ֖ בִּקְצֵ֣ה הַשָּׁמָ֑יִם מִשָּׁ֗ם יְקַבֶּצְךָ֙ יְהוָ֣ה אֱלֹהֶ֔יךָ וּמִשָּׁ֖ם יִקָּחֶֽךָ׃ וֶהֱבִֽיאֲךָ֞ יְהוָ֣ה אֱלֹהֶ֗יךָ אֶל־הָאָ֛רֶץ אֲשֶׁר־יָרְשׁ֥וּ אֲבֹתֶ֖יךָ וִֽירִשְׁתָּ֑הּ וְהֵיטִֽבְךָ֥ וְהִרְבְּךָ֖ מֵאֲבֹתֶֽיךָ׃ וּמָ֨ל יְהוָ֧ה אֱלֹהֶ֛יךָ אֶת־לְבָבְךָ֖ וְאֶת־לְבַ֣ב זַרְעֶ֑ךָ לְאַהֲבָ֞ה אֶת־יְהוָ֧ה אֱלֹהֶ֛יךָ בְּכָל־לְבָבְךָ֥ וּבְכָל־נַפְשְׁךָ֖ לְמַ֥עַן חַיֶּֽיךָ׃ וְנָתַן֙ יְהוָ֣ה אֱלֹהֶ֔יךָ אֵ֥ת כָּל־הָאָל֖וֹת הָאֵ֑לֶּה עַל־אֹיְבֶ֥יךָ וְעַל־שֹׂנְאֶ֖יךָ אֲשֶׁ֥ר רְדָפֽוּךָ׃ וְאַתָּ֣ה תָשׁ֔וּב וְשָׁמַעְתָּ֖ בְּק֣וֹל יְהוָ֑ה וְעָשִׂ֙יתָ֙ אֶת־כָּל־מִצְוֺתָ֔יו אֲשֶׁ֛ר אָנֹכִ֥י מְצַוְּךָ֖ הַיּֽוֹם׃ וְהוֹתִֽירְךָ֩ יְהוָ֨ה אֱלֹהֶ֜יךָ בְּכֹ֣ל ׀ מַעֲשֵׂ֣ה יָדֶ֗ךָ בִּפְרִ֨י בִטְנְךָ֜ וּבִפְרִ֧י בְהֶמְתְּךָ֛ וּבִפְרִ֥י אַדְמָתְךָ֖ לְטוֹבָ֑ה כִּ֣י ׀ יָשׁ֣וּב יְהוָ֗ה לָשׂ֤וּשׂ עָלֶ֙יךָ֙ לְט֔וֹב כַּאֲשֶׁר־שָׂ֖שׂ עַל־אֲבֹתֶֽיךָ׃ כִּ֣י תִשְׁמַ֗ע בְּקוֹל֙ יְהוָ֣ה אֱלֹהֶ֔יךָ לִשְׁמֹ֤ר מִצְוֺתָיו֙ וְחֻקֹּתָ֔יו הַכְּתוּבָ֕ה בְּסֵ֥פֶר הַתּוֹרָ֖ה הַזֶּ֑ה כִּ֤י תָשׁוּב֙ אֶל־יְהוָ֣ה אֱלֹהֶ֔יךָ בְּכָל־לְבָבְךָ֖ וּבְכָל־נַפְשֶֽׁךָ׃
אין אומרים בשבת ויו"ט:
יְהִי רָצוֹן מִלְּ֒פָנֶֽיךָ יְהֺוָה אֱלֹהַי וֵאלֹהֵי אֲבוֹתַי שֶׁתַּחְתּוֹר חֲתִּירָה מִתַּֽחַת כִּסֵּא כְבוֹדֶֽ֒ךָ לְהַחֲזִיר בִּתְ֒שׁוּבָה שְׁלֵמָה לְכָל פּוֹשְׁ֒עֵי עַמְּ֒ךָ בֵּית יִשְׂרָאֵל וּבִכְ֒לָלָם תַּחֲזִירֵֽנִי בִּתְ֒שׁוּבָה שְׁלֵמָה לְפָנֶֽיךָ כִּי יְמִינְ֒ךָ פְשׁוּטָה לְקַבֵּל שָׁבִים וְרוֹצֶה אַתָּה בִּתְ֒שׁוּבָה. אָמֵן, סֶֽלָה:</t>
        </is>
      </c>
      <c r="F346" s="10" t="inlineStr"/>
      <c r="G346" s="11" t="inlineStr">
        <is>
          <t>Siddur Sefard, Additional Prayers , Chapter of Repentance</t>
        </is>
      </c>
      <c r="H346" s="8" t="inlineStr">
        <is>
          <t>The Metsudah siddur, 1981 — CC-BY</t>
        </is>
      </c>
      <c r="I346" s="8" t="inlineStr">
        <is>
          <t>sefaria-siddur-sefard-additional-prayers-chapter-of-repentance</t>
        </is>
      </c>
    </row>
    <row r="347" ht="409" customHeight="1">
      <c r="A347" s="7">
        <f>IF(LEN(TRIM(F347))=0,"Approved","Comment to address")</f>
        <v/>
      </c>
      <c r="B347" s="12" t="inlineStr">
        <is>
          <t>Korbanot</t>
        </is>
      </c>
      <c r="C347" s="12" t="inlineStr">
        <is>
          <t>daily</t>
        </is>
      </c>
      <c r="D347" s="12" t="inlineStr">
        <is>
          <t>Nusach Sefard</t>
        </is>
      </c>
      <c r="E347" s="13" t="inlineStr">
        <is>
          <t>וַיְדַבֵּר יְהֹוָה אֶל־משֶׁה לֵּאמֹר: צַו אֶת־בְּנֵי יִשְׂרָאֵל וְאָמַרְתָּ אֲלֵהֶם אֶת־קָרְבָּנִי לַחְמִי לְאִשַּׁי רֵֽיחַ נִיחֹחִי תִּשְׁמְ֒רוּ לְהַקְרִיב לִי בְּמוֹעֲדוֹ: וְאָמַרְתָּ לָהֶם זֶה הָאִשֶּׁה אֲשֶׁר תַּקְרִֽיבוּ לַיהוָֹה כְּבָשִׂים בְּנֵי־שָׁנָה תְמִימִם שְׁנַֽיִם לַיּוֹם עֹלָה תָמִיד: אֶת־הַכֶּֽבֶשׂ אֶחָד תַּעֲשֶׂה בַבֹּֽקֶר וְאֵת הַכֶּֽבֶשׂ הַשֵּׁנִי תַּעֲשֶׂה בֵּין הָעַרְבָּֽיִם: וַֽעֲשִׂירִית הָאֵיפָה סֹֽלֶת לְמִנְחָה בְּלוּלָה בְּשֶֽׁמֶן כָּתִית רְבִיעִת הַהִין: עֹלַת תָּמִיד הָעֲשֻׂיָה בְּהַר סִינַי לְרֵֽיחַ נִיחֹֽחַ אִשֶּׁה לַיהוָֹה: וְנִסְכּוֹ רְבִיעִת הַהִין לַכֶּֽבֶשׂ הָאֶחָד בַּקֹּֽדֶשׁ הַסֵּךְ נֶֽסֶךְ שֵׁכָר לַיהוָֹה: וְאֵת הַכֶּֽבֶשׂ הַשֵּׁנִי תַּעֲשֶׂה בֵּין הָעַרְבָּֽיִם כְּמִנְחַת הַבֹּֽקֶר וּכְנִסְכּוֹ תַּעֲשֶׂה אִשֵּׁה רֵֽיחַ נִיחֹֽחַ לַיהוָֹה:
וְשָׁחַט אֹתוֹ עַל יֶֽרֶךְ הַמִּזְבֵּֽחַ צָפֹֽנָה לִפְנֵי יְהֹוָה וְזָרְקוּ בְּנֵי אַהֲרֹן הַכֹּהֲנִים אֶת־דָּמוֹ עַל־הַמִּזְבֵּֽחַ סָבִיב:
יְהִי רָצוֹן מִלְּ֒פָנֶֽיךָ, יְהֹוָה אֱלֹהֵֽינוּ וֵאלֹהֵי אֲבוֹתֵֽינוּ, שֶׁתְּ֒הֵא אֲמִירָה זוּ, חֲשׁוּבָה וּמְקֻבֶּֽלֶת, וּמְרֻצָּה לְפָנֶֽיךָ, כְּאִלּוּ הִקְרַֽבְנוּ קָרְבַּן הַתָּמִיד בְּמוֹעֲדוֹ, וּבִמְ֒קוֹמוֹ וּכְהִלְכָתוֹ:
אַתָּה הוּא יְהֹוָה אֱלֹהֵֽינוּ שֶׁהִקְטִֽירוּ אֲבוֹתֵֽינוּ לְפָנֶֽיךָ אֶת קְטֹֽרֶת הַסַּמִּים בִּזְמַן שֶׁבֵּית הַמִּקְדָּשׁ הָיָה קַיָּם כַּאֲשֶׁר צִוִּיתָ אוֹתָם עַל יְדֵי משֶׁה נְבִיאֶֽךָ כַּכָּתוּב בְּתוֹרָתֶֽךָ:
וַיֹּֽאמֶר יְהֹוָה אֶל־משֶׁה קַח־לְךָ סַמִּים נָטָף וּשְׁחֵֽלֶת וְחֶלְבְּנָה סַמִּים וּלְבֹנָה זַכָּה בַּד בְּבַד יִהְיֶה: וְעָשִֽׂיתָ אֹתָהּ קְטֹֽרֶת רֹֽקַח מַעֲשֵׂה רוֹקֵֽחַ מְמֻלָּח טָהוֹר קֹֽדֶשׁ: וְשָׁחַקְתָּ מִמֶּֽנָּה הָדֵק וְנָתַתָּה מִמֶּֽנָּה לִפְנֵי הָעֵדֻת בְּאֹֽהֶל מוֹעֵד אֲשֶׁר אִוָּעֵד לְךָ שָֽׁמָּה קֹֽדֶשׁ קָדָשִׁים תִּהְיֶה לָכֶם: וְנֶאֱמַר
וְהִקְטִיר עָלָיו אַהֲרֹן קְטֹֽרֶת סַמִּים בַּבֹּֽקֶר בַּבֹּֽקֶר בְּהֵיטִיבוֹ אֶת־הַנֵּרֹת יַקְטִירֶֽנָּה: וּבְהַעֲלֹת אַהֲרֹן אֶת־הַנֵּרֹת בֵּין הָֽעַרְבַּֽיִם יַקְטִירֶֽנָּה קְטֹֽרֶת תָּמִיד לִפְנֵי יְהֹוָה לְדֹרֹתֵיכֶם:
תָּנוּ רַבָּנָן פִּטּוּם הַקְּ֒טֹֽרֶת כֵּיצַד שְׁלֹש מֵאוֹת וְשִׁשִּׁים וּשְׁמוֹנָה מָנִים הָיוּ בָהּ, שְׁלֹש מֵאוֹת וְשִׁשִּׁים וַחֲמִשָּׁה כְּמִנְיַן יְמוֹת הַחַמָּה מָנֶה לְכָל יוֹם, פְּרַס בַּשַּׁחֲרִית וּפְרַס בֵּין הָעַרְבָּֽיִם, וּשְׁלשָׁה מָנִים יְתֵרִים שֶׁמֵּהֶם מַכְנִיס כֹּהֵן גָּדוֹל מְלֹא חָפְנָיו בְּיוֹם הַכִּפּוּרִים, וּמַחֲזִירָן לְמַכְתֶּֽשֶׁת בְּעֶֽרֶב יוֹם הַכִּפּוּרִים, וְשׁוֹחֲקָן יָפֶה יָפֶה כְּדֵי שֶׁתְּ֒הֵא דַקָּה מִן הַדַּקָּה, וְאַחַד עָשָׂר סַמָּנִים הָֽיוּ בָהּ, וְאֵֽלּוּ הֵן הַצֳּרִי וְהַצִּפֹּֽרֶן הַחֶלְבְּנָה וְהַלְּ֒בוֹנָה מִשְׁקַל שִׁבְעִים שִׁבְעִים מָנֶה, מוֹר וּקְצִיעָה שִׁבֹּֽלֶת נֵרְדְּ וְכַרְכֹּם מִשְׁקַל שִׁשָּׁה עָשָׂר שִׁשָּׁה עָשָׂר מָנֶה, הַקּשְׁטְ שְׁנֵים עָשָׂר וְקִלּוּפָה שְׁלשָׁה וְקִנָּמוֹן תִּשְׁעָה, בֹּרִית כַּרְשִׁינָה תִּשְׁעָה קַבִּין, יֵין קַפְרִיסִין סְאִין תְּלָתָא וְקַבִּין תְּלָתָא, וְאִם אֵין לוֹ יֵין קַפְרִיסִין מֵבִיא חֲמַר חִוַּרְיָן עַתִּיק, מֶֽלַח סְדוֹמִית רֹֽבַע הַקָּב, מַעֲלֶה עָשָׁן כָּל שֶׁהוּא, רַבִּי נָתָן הַבַּבְלִי אוֹמֵר אַף כִּפַּת הַיַּרְדֵּן כָּל שֶׁהוּא, וְאִם נָֽתַן בָּהּ דְּבַשׁ פְּסָלָהּ וְאִם חִסַּר אַחַת מִכָּל סַמָּנֶֽיהָ חַיָּב מִיתָה:
רַבָּן שִׁמְעוֹן בֶּן גַּמְלִיאֵל אוֹמֵר הַצֳּרִי אֵינוֹ אֶלָּא שְׂרָף הַנּוֹטֵף מֵעֲצֵי הַקְּ֒טָף, בֹּרִית כַּרְשִׁינָה שֶׁשָׁפִין בָּה אֶת הַצִפֹּרֶן כִּדֵי שֶׁתְּ֒הֵא נָאָה יֵין קַפְרִיסִין שֶׁשׁוֹרִין בּוֹ אֶת הַצִפֹּרֶן כְּדֵי שֶׁתְּ֒הֵא עַזָּה, וַהֲלֹא מֵי רַגְלַֽיִם יָפִין לָהּ אֶלָּא שֶׁאֵין מַכְנִיסִין מֵי רַגְלַֽיִם בַּמִּקְדָּשׁ מִפְּנֵי הַכָּבוֹד:
תַּנְיָא רַבִּי נָתָן אוֹמֵר כְּשֶׁהוּא שׁוֹחֵק אוֹמֵר הָדֵק הֵיטֵב הֵיטֵב הָדֵק מִפְּ֒נֵי שֶׁהַקּוֹל יָפֶה לַבְּ֒שָׂמִים, פִּטְּ֒מָהּ לַחֲצָאִין כְּשֵׁרָה לִשְׁלִישׁ וְלִרְבִֽיעַ לֹא שָׁמַֽעְנוּ: אָמַר רַבִּי יְהוּדָה זֶה הַכְּ֒לָל אִם כְּמִדָּתָהּ כְּשֵׁרָה לַחֲצָאִין וְאִם חִסַּר אַחַת מִכָּל סַמָּנֶֽיהָ חַיָּב מִיתָה:
תַּנְיָא בַּר קַפָּרָא אוֹמֵר אַחַת לְשִׁשִּׁים אוֹ לְשִׁבְעִים שָׁנָה הָיְ֒תָה בָאָה שֶׁל שִׁירַֽיִם לַחֲצָאִין: וְעוֹד תָּנֵי בַּר קַפָּרָא אִלּוּ הָיָה נוֹתֵן בָּהּ קוֹרְ֒טוֹב שֶׁל דְּבַשׁ אֵין אָדָם יָכוֹל לַעֲמֹד מִפְּ֒נֵי רֵיחָהּ וְלָֽמָּה אֵין מְעָרְ֒בִין בָּהּ דְּבַשׁ מִפְּ֒נֵי שֶׁהַתּוֹרָה אָמְ֒רָה כִּי כָל־שְׂאֹר וְכָל־דְּבַשׁ לֹא־תַקְטִֽירוּ מִמֶּֽנּוּ אִשֶּׁה לַיהוָֹה:
אומר ג' פעמים:
יְהֹוָה צְבָאוֹת עִמָּֽנוּ מִשְׂגַּב־לָֽנוּ אֱלֹהֵי יַעֲקֹב סֶֽלָה: יְהֹוָה צְבָאוֹת אַשְׁרֵי אָדָם בֹּטֵֽחַ בָּךְ: יְהֹוָה הוֹשִֽׁיעָה הַמֶּֽלֶךְ יַעֲנֵֽנוּ בְיוֹם־קָרְאֵֽנוּ:
אַתָּה סֵֽתֶר לִי מִצַּר תִּצְּ֒רֵֽנִי רָנֵּי פַלֵּט תְּסוֹבְ֒בֵֽנִי סֶֽלָה: וְעָרְ֒בָה לַיהוָֹה מִנְחַת יְהוּדָה וִירוּשָׁלָֽםִ כִּימֵי עוֹלָם וּכְשָׁנִים קַדְמֹנִיּוֹת:
ואח"כ יאמר תפלת רבי נחוניא בן הקנה:
אָֽנָּא בְּכֹֽחַ גְּדֻלַּת יְמִינְ֒ךָ תַּתִּיר צְרוּרָה:
קַבֵּל רִנַּת עַמְּ֒ךָ שַׂגְּ֒בֵֽנוּ טַהֲרֵֽנוּ נוֹרָא:
נָא גִבּוֹר דּוֹרְ֒שֵׁי יִחוּדְ֒ךָ כְּבָבַת שָׁמְ֒רֵם:
בָּרְ֒כֵם טַהֲרֵם רַחֲמֵם צִדְקָתְ֒ךָ תָּמִיד גָּמְ֒לֵם:
חֲסִין קָדוֹשׁ בְּרֹב טוּבְ֒ךָ נַהֵל עֲדָתֶֽךָ:
יָחִיד גֵּאֶה לְעַמְּ֒ךָ פְּנֵה, זוֹכְ֒רֵי קְדֻשָּׁתֶֽךָ:
שַׁוְעָתֵֽנוּ קַבֵּל וּשְׁמַע צַעֲקָתֵֽנוּ יוֹדֵֽעַ תַּעֲלוּמוֹת:
בָּרוּךְ שֵׁם כְּבוֹד מַלְכוּתוֹ לְעוֹלָם וָעֶד:
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
החזן אומר חצי קדיש: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t>
        </is>
      </c>
      <c r="F347" s="10" t="inlineStr"/>
      <c r="G347" s="14" t="inlineStr">
        <is>
          <t>Siddur Sefard, Weekday Mincha, Korbanot</t>
        </is>
      </c>
      <c r="H347" s="12" t="inlineStr">
        <is>
          <t>The Metsudah siddur, 1981 — CC-BY</t>
        </is>
      </c>
      <c r="I347" s="12" t="inlineStr">
        <is>
          <t>sefaria-siddur-sefard-weekday-mincha-korbanot</t>
        </is>
      </c>
    </row>
    <row r="348" ht="409" customHeight="1">
      <c r="A348" s="7">
        <f>IF(LEN(TRIM(F348))=0,"Approved","Comment to address")</f>
        <v/>
      </c>
      <c r="B348" s="8" t="inlineStr">
        <is>
          <t>Tachanun</t>
        </is>
      </c>
      <c r="C348" s="8" t="inlineStr">
        <is>
          <t>repentance</t>
        </is>
      </c>
      <c r="D348" s="8" t="inlineStr">
        <is>
          <t>Nusach Sefard</t>
        </is>
      </c>
      <c r="E348" s="9" t="inlineStr">
        <is>
          <t>אין נופלין על פניהם בבית האבל או בבית הכנסת שמלין בו התינוק או שבעל ברית או סנדק והמוהל מתפללין שם, ולא כשיש שם חתן כל ז' ימי המשתה, ולא בט"ו באב, ובט"ו בשבט, ר"ח, חנוכה, פורים קטן, ופורים גדול ב' ימים, ול"ג בעומר, ועיו"כ וערב ראש השנה, ולא בכל חודש ניסן ולא בתשעה באב, ומערב יום הכיפורים עד אחר ראש חודש חשון, ומתחלת ר"ח סיון עד י"ג סיון, וכל אלו הימים אין אומרים במנחה שלפניהם זולת עיו"כ וער"ה שאומרים במנחה שלפניהם. (מדה"ח):
אֱלֺהֵֽינוּ וֵאלֺהֵי אֲבוֹתֵֽינוּ תָּבֹא לְפָנֶֽיךָ תְּפִלָּֽתֵֽנוּ, וְאַל תִּתְעַלַּם מִתְּ֒חִנָּתֵֽנוּ שֶׁאֵין אָֽנוּ עַזֵּי פָנִים וּקְ֒שֵׁי עֹֽרֶף לוֹמַר לְפָנֶֽיךָ יְהֹוָה אֱלֺהֵֽינוּ וֵאלֺהֵי אֲבוֹתֵֽינוּ צַדִּיקִים אֲנַֽחְנוּ וְלֺא חָטָֽאנוּ אֲבָל אֲנַֽחְנוּ וַאֲבוֹתֵֽינוּ חָטָֽאנוּ:
אָשַֽׁמְנוּ. בָּגַֽדְנוּ. גָּזַֽלְנוּ. דִּבַּֽרְנוּ דֹּֽפִי. הֶעֱוִֽינוּ. וְהִרְשַֽׁעְנוּ. זַֽדְנוּ. חָמַֽסְנוּ. טָפַֽלְנוּ שֶֽׁקֶר. יָעַֽצְנוּ רָע. כִּזַּֽבְנוּ. לַֽצְנוּ. מָרַֽדְנוּ. נִאַֽצְנוּ. סָרַֽרְנוּ. עָוִֽינוּ. פָּשַֽׁעְנוּ. צָרַֽרְנוּ. קִשִּֽׁינוּ עֹֽרֶף. רָשַֽׁעְנוּ. שִׁחַֽתְנוּ. תִּעַֽבְנוּ. תָּעִֽינוּ. תִּעְתָּֽעְנוּ:
סַֽרְנוּ מִמִּצְוֹתֶֽיךָ וּמִמִּשְׁפָּטֶֽיךָ הַטּוֹבִים וְלֺא שָֽׁוָה לָֽנוּ. וְאַתָּה צַדִּיק עַל כָּל הַבָּא עָלֵֽינוּ. כִּי אֱמֶת עָשִֽׂיתָ וַאֲנַֽחְנוּ הִרְשָֽׁעְנוּ:
אֵל אֶֽרֶךְ־אַפַּֽיִם אַתָּה. וּבַֽעַל הָרַחֲמִים נִקְרֵֽאתָ. וְדֶֽרֶךְ תְּשׁוּבָה הוֹרֵֽיתָ: גְּדֻלַּת רַחֲמֶֽיךָ וַחֲסָדֶֽיךָ. תִּזְכֺּר הַיּוֹם וּבְכָל־יוֹם לְזֶֽרַע יְדִידֶֽיךָ: תֵּֽפֶן אֵלֵֽינוּ בְּרַחֲמִים. כִּי אַתָּה הוּא בַּֽעַל הָרַחֲמִים: בְּתַחֲנוּן וּבִתְ֒פִלָּה פָּנֶֽיךָ נְקַדֵּם. כְּהוֹדַֽעְתָּ לֶעָנָיו מִקֶּֽדֶם: מֵחֲרוֹן אַפְּ֒ךָ שׁוּב. כְּמוֹ בְּתוֹרָתְ֒ךָ כָּתוּב: וּבְ֒צֵל כְּנָפֶֽיךָ נֶחֱסֶה וְנִתְלוֹנָן. כְּיוֹם וַיֵֽרֶד יְהֺוָה בֶּעָנָן: תַּעֲבֺר עַל־פֶּֽשַׁע וְתִמְחֶה אָשָׁם. כְּיוֹם וַַיִּתְיַצֵּב עִמּוֹ שָׁם: תַּאֲזִין שַׁוְעָתֵֽנוּ וְתַקְשִׁיב מֶֽנוּ מַאֲמַר. כְּיוֹם וַיִּקְרָא בְשֵׁם יְהֹוָה, וְשָׁם נֶאֱמַר:
קהל וש"ץ:
וַיַּעֲבֹר יְהֺוָה עַל פָּנָיו וַיִּקְרָא:
יְהֺוָה יְהֺוָה אֵל רַחוּם וְחַנּוּן אֶֽרֶךְ אַפַּֽיִם וְרַב־חֶֽסֶד וֶאֱמֶת: נֹצֵר חֶֽסֶד לָאֲלָפִים נֹשֵׂא עָוֹן וָפֶֽשַׁע וְחַטָּאָה וְנַקֵּה: וְסָלַחְתָּ לַעֲוֺנֵֽנוּ וּלְ֒חַטָּאתֵֽנוּ וּנְ֒חַלְתָּֽנוּ: סְלַח־לָֽנוּ אָבִֽינוּ כִּי־חָטָֽאנוּ. מְחַל־לָֽנוּ מַלְכֵּֽנוּ כִּי־פָשָֽׁעְנוּ: כִּי־אַתָּה אֲדֺנָי טוֹב וְסַלָּח וְרַב־חֶֽסֶד לְכָל־קוֹרְ֒אֶֽיךָ:
כשנופל על פניו יש נוהגים להטות על צד ימין משום דכתיב שויתי ה' לנגדי תמיד. ויש נוהגים להטות על צד שמאל משום דהסבת שמאל שמה הסבה הלכך באותו צד שהוא נראה כבן מלך צריך ליכנע לפני המקום. וכבר נהגו ליפול בשחרית על צד ימין ובמנחה על צד שמאל.
וַיֹּֽאמֶר דָּוִד אֶל־גָּד צַר־לִי מְאֹד נִפְּ֒לָה־נָּא בְיַד־יְהֹוָה כִּי־רַבִּים רַחֲמָיו וּבְ֒יַד־אָדָם אַל־אֶפֹּֽלָה:
רַחוּם וְחַנּוּן חָטָֽאתִי לְפָנֶֽיךָ יְהֹוָה מָלֵא רַחֲמִים רַחֵם עָלַי וְקַבֵּל תַּחֲנוּנָי:
יְהֹוָה אַל־בְּאַפְּ֒ךָ תוֹכִיחֵֽנִי וְאַל־בַּחֲמָתְ֒ךָ תְיַסְּ֒רֵֽנִי: חָנֵּֽנִי יְהֹוָה כִּי אֻמְלַל אָֽנִי רְפָאֵֽנִי יְהֹוָה כִּי נִבְהֲלוּ עֲצָמָי: וְנַפְשִׁי נִבְהֲלָה מְאֹד וְאַתָּה יְהֹוָה עַד־מָתָי: שׁוּבָה יְהֹוָה חַלְּ֒צָה נַפְשִׁי הוֹשִׁיעֵֽנִי לְמַֽעַן חַסְדֶּֽךָ: כִּי אֵין בַּמָּֽוֶת זִכְרֶךָ בִּשְׁ֒אוֹל מִי־יוֹדֶה לָּךְ: יָגַֽעְתִּי־בְּאַנְחָתִי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
שׁוֹמֵר יִשְׂרָאֵל שְׁמוֹר שְׁאֵרִית יִשְׂרָאֵל וְאַל יֹאבַד יִשְׂרָאֵל הָאֹמְ֒רִים שְׁמַע יִשְׂרָאֵל:
שׁוֹמֵר גּוֹי אֶחָד שְׁמוֹר שְׁאֵרִית עַם אֶחָד וְאַל יֹאבַד גּוֹי אֶחָד הַמְ֒יַחֲדִים שִׁמְךָ יְהֹוָה אֱלֺהֵֽינוּ יְהֹוָה אֶחָד:
שׁוֹמֵר גּוֹי קָדוֹשׁ שְׁמוֹר שְׁאֵרִית עַם קָדוֹשׁ וְאַל יֹאבַד גּוֹי קָדוֹשׁ הַמְ֒שַׁלְּ֒שִׁים בְּשָׁלשׁ קְדֻשּׁוֹת לְקָדוֹשׁ:
מִתְרַצֶּה בְּרַחֲמִים וּמִתְפַּיֵּס בְּתַחֲנוּנִים הִתְרַצֶּה וְהִתְפַּיֵּס לְדוֹר עָנִי כִּי אֵין עוֹזֵר: אָבִֽינוּ מַלְכֵּֽנוּ חָנֵּֽנוּ וַעֲנֵֽנוּ כִּי אֵין בָּֽנוּ מַעֲשִׂים עֲשֵׂה עִמָּֽנוּ צְדָקָה וָחֶֽסֶד וְהוֹשִׁיעֵֽנוּ:
וַאֲנַֽחְנוּ לֺא נֵדַע מַה נַּעֲשֶׂה כִּי עָלֶֽיךָ עֵינֵֽינוּ: זְכֹר רַחֲמֶֽיךָ יְהֹוָה וַחֲסָדֶֽיךָ כִּי מֵעוֹלָם הֵֽמָּה: יְהִי חַסְדְּ֒ךָ יְהֹוָה עָלֵֽינוּ כַּאֲשֶׁר יִחַֽלְנוּ לָךְ: אַל תִּזְכָּר לָֽנוּ עֲוֹנוֹת רִאשׁוֹנִים מַהֵר יְקַדְּ֒מֽוּנוּ רַחֲמֶֽיךָ כִּי דַלּֽוֹנוּ מְאֹד: עֶזְרֵֽנוּ בְּשֵׁם יְהֹוָה עֹשֵׂה שָׁמַֽיִם וְאָֽרֶץ: חָנֵּֽנוּ יְהֹוָה חָנֵּֽנוּ כִּי־רַב שָׂבַֽעְנוּ בוּז: בְּרֺֽגֶז רַחֵם תִּזְכּוֹר: בְּרֹֽגֶז עַקֵדָה תִּזְכּוֹר, בְּרֹֽגֶז תְּמִימוֹת תִּזְכּוֹר: יְהֹוָה הוֹשִֽׁיעָה, הַמֶּֽלֶךְ יַעֲנֵֽנוּ בְיוֹם קָרְאֵֽנוּ: כִּי הוּא יָדַע יִצְרֵֽנוּ זָכוּר כִּי עָפָר אֲנָֽחְנוּ: עָזְ֒רֵֽנוּ אֱלֺהֵי יִשְׁעֵֽנוּ עַל־דְּבַר כְּבוֹד־שְׁמֶֽךָ וְהַצִּילֵֽנוּ וְכַפֵּר עַל־חַטֹּאתֵֽינוּ לְמַֽעַן שְׁמֶֽךָ:
הש"ץ אומר קדיש שלם: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תִּתְקַבֵּל צְלוֹתְ֒הוֹן וּבָעוּתְ֒הוֹן דְּכָל בֵּית יִשְׂרָאֵל קֳדָם אֲבוּהוֹן דִּי בִשְׁ֒מַיָּא וְאִמְרוּ אָמֵן:
יְהֵא שְׁלָמָא רַבָּא מִן שְׁמַיָּא וְחַיִּים טוֹבִים עָלֵֽינוּ וְעַל כָּל יִשְׂרָאֵל וְאִמְרוּ אָמֵן:
עוֹשֶׂה שָׁלוֹם (בעשי"ת הַשָּׁלוֹם) בִּמְרוֹמָיו הוּא יַעֲשֶׂה שָׁלוֹם עָלֵינוּ וְעַל כָּל יִשְׂרָאֵל וְאִמְרוּ אָמֵן
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(וְ)עַל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יְהֵא שְׁלָמָא רַבָּא מִן שְׁמַיָּא וְחַיִּים טוֹבִים עָלֵֽינוּ וְעַל כָּל יִשְׂרָאֵל וְאִמְרוּ אָמֵן:
עוֹשֶׂה שָׁלוֹם (בעשי"ת הַשָּׁלוֹם) בִּמְרוֹמָיו הוּא יַעֲשֶׂה שָׁלוֹם עָלֵינוּ וְעַל כָּל יִשְׂרָאֵל וְאִמְרוּ אָמֵן
מנהג טוב לומר אחר כל תפלה מזמור לדוד ה׳‬ אורי וישעי. ובפרט מר״ח אלול עד הושענא רבא (מורה באצבע סי' לז).
לְדָוִד יְהֹוָה אוֹרִי וְיִשְׁעִי מִמִּי אִירָא יְהֹוָה מָעוֹז חַיַּי מִמִּי אֶפְחָד: בִּקְ֒רֹב עָלַי מְרֵעִים לֶאֱכֹל אֶת בְּשָׂרִי צָרַי וְאֹיְ֒בַי לִי הֵֽמָּה כָשְׁ֒לוּ וְנָפָֽלוּ: אִם תַּחֲנֶה עָלַי מַחֲנֶה לֹא יִירָא לִבִּי אִם תָּקוּם עָלַי מִלְחָמָה בְּזֹאת אֲנִי בוֹטֵֽחַ: אַחַת שָׁאַֽלְתִּי מֵאֵת יְהֹוָה אוֹתָהּ אֲבַקֵּשׁ שִׁבְתִּי בְּבֵית יְהֹוָה כָּל יְמֵי חַיַּי לַחֲזוֹת בְּנֹֽעַם יְהֹוָה וּלְ֒בַקֵּר בְּהֵיכָלוֹ: כִּי יִצְפְּ֒נֵֽנִי בְּסֻכֹּה בְּיוֹם רָעָה יַסְתִּרֵֽנִי בְּסֵֽתֶר אָהֳלוֹ בְּצוּר יְרוֹמְ֒מֵֽנִי: וְעַתָּה יָרוּם רֹאשִׁי עַל אֹיְ֒בַי סְבִיבוֹתָי וְאֶזְבְּחָה בְאָהֳלוֹ זִבְחֵי תְרוּעָה אָשִֽׁירָה וַאֲזַמְּ֒רָה לַיהֹוָה: שְׁמַע יְהֹוָה קוֹלִי אֶקְרָא וְחָנֵּֽנִי וַעֲנֵֽנִי: לְךָ אָמַר לִבִּי בַּקְּ֒שׁוּ פָנָי אֶת פָּנֶֽיךָ יְהֹוָה אֲבַקֵּשׁ: אַל תַּסְתֵּר פָּנֶֽיךָ מִמֶּֽנִּי אַל תַּט בְּאַף עַבְדֶּֽךָ עֶזְרָתִי הָיִֽיתָ אַל תִּטְּ֒שֵֽׁנִי וְאַל תַּעַזְ֒בֵֽנִי אֱלֹהֵי יִשְׁעִי: כִּי אָבִי וְאִמִּי עֲזָבֽוּנִי וַיהֹוָה יַאַסְ֒פֵֽנִי: הוֹרֵֽנִי יְהֹוָה דַּרְכֶּֽךָ וּנְ֒חֵֽנִי בְּאֹֽרַח מִישׁוֹר לְמַֽעַן שׁוֹרְ֒רָי: אַל תִּתְּ֒נֵֽנִי בְּנֶֽפֶשׁ צָרָי כִּי קָֽמוּ בִי עֵֽדֵי שֶֽׁקֶר וִיפֵֽחַ חָמָס: לוּלֵא הֶאֱמַֽנְתִּי לִרְאוֹת בְּטוּב יְהֹוָה בְּאֶֽרֶץ חַיִּים: קַוֵּה אֶל יְהֹוָה חֲזַק וְיַאֲמֵץ לִבֶּךָ וְקַוֵּה אֶל יְהֹוָה:
(קדיש יתום)
בבית האבל בבוקר אחר שיר של יום ואחר מנחה בימים שיש בהם תחנון אומרים זה:
לַמְנַצֵּֽחַ לִבְנֵי קֹֽרַח מִזְמוֹר: שִׁמְ֒עוּ זֹאת כָּל־הָעַמִּים הַאֲזִֽינוּ כָּל יֽשְׁ֒בֵי חָֽלֶד: גַּם בְּנֵי אָדָם גַּם בְּנֵי אִישׁ יַֽחַד עָשִׁיר וְאֶבְיוֹן: פִּי יְדַבֵּר חָכְמוֹת וְהָגוּת לִבִּי תְבוּנוֹת: אַטֶּה לְמָשָׁל אָזְנִי אֶפְתַּח בְּכִנּוֹר חִידָתִי: לָֽמָּה אִירָא בִּֽימֵי רָע עֲוֹן עֲקֵבַי יְסוּבֵּֽנִי: הַבֹּטְ֒חִים עַל חֵילָם וּבְ֒רֹב עָשְׁרָם יִתְהַלָּֽלוּ: אָח לֺא פָדֹה יִפְדֶּה אִישׁ לֺא יִתֵּן לֵאלֺהִים כָּפְרוֹ: וְיֵקַר פִּדְיוֹן נַפְשָׁם וְחָדַל לְעוֹלָם: וִיחִי עוֹד לָנֶֽצַח לֺא יִרְאֶה הַשָּֽׁחַת: כִּי יִרְאֶה חֲכָמִים יָמֽוּתוּ יַֽחַד כְּסִיל וָבַֽעַר יֹאבֵֽדוּ וְעָזְ֒בוּ לַאֲחֵרִים חֵילָם: קִרְבָּם בָּתֵּֽימוֹ לְעוֹלָם מִשְׁכְּ֒נֹתָם לְדוֹר וָדֹר קָרְ֒אוּ בִשְׁמוֹתָם עֲלֵי אֲדָמוֹת: וְאָדָם בִּיקָר בַּל־יָלִין נִמְשַׁל כַּבְּ֒הֵמוֹת נִדְמוּ: זֶה דַרְכָּם כֶּֽסֶל לָֽמוֹ וְאַחֲרֵיהֶם בְּפִיהֶם יִרְצוּ סֶֽלָה: כַּצֹּאן לִשְׁ֒אוֹל שַׁתּוּ מָֽוֶת יִרְעֵם וַיִּרְדּוּ בָם יְשָׁרִים לַבֹּֽקֶר וְצוּרָם לְבַלּוֹת שְׁאוֹל מִזְּ֒בֻל לוֹ: אַךְ־אֱלֺהִים יִפְדֶּה נַפְשִׁי מִיַּד שְׁאוֹל כִּי יִקָּחֵֽנִי סֶֽלָה: אַל־תִּירָא כִּי־יַעֲשִׁר אִישׁ כִּי־יִרְבֶּה כְּבוֹד בֵּיתוֹ: כִּי לֺא בְמוֹתוֹ יִקַּח הַכֹּל לֺא־יֵרֵד אַחֲרָיו כְּבוֹדוֹ: כִּי־נַפְשׁוֹ בְּחַיָּיו יְבָרֵךְ וְיוֹדֻֽךָ כִּי־תֵיטִיב לָךְ: תָּבוֹא עַד־דּוֹר אֲבוֹתָיו עַד־נֵֽצַח לֺא יִרְאוּ אוֹר: אָדָם בִּיקָר וְלֺא־יָבִין נִמְשַׁל כַּבְּ֒הֵמוֹת נִדְמוּ:</t>
        </is>
      </c>
      <c r="F348" s="10" t="inlineStr"/>
      <c r="G348" s="11" t="inlineStr">
        <is>
          <t>Siddur Sefard, Weekday Mincha, Tachanun</t>
        </is>
      </c>
      <c r="H348" s="8" t="inlineStr">
        <is>
          <t>The Metsudah siddur, 1981 — CC-BY</t>
        </is>
      </c>
      <c r="I348" s="8" t="inlineStr">
        <is>
          <t>sefaria-siddur-sefard-weekday-mincha-tachanun</t>
        </is>
      </c>
    </row>
    <row r="349" ht="409" customHeight="1">
      <c r="A349" s="7">
        <f>IF(LEN(TRIM(F349))=0,"Approved","Comment to address")</f>
        <v/>
      </c>
      <c r="B349" s="12" t="inlineStr">
        <is>
          <t>Avinu Malkeinu</t>
        </is>
      </c>
      <c r="C349" s="12" t="inlineStr">
        <is>
          <t>daily</t>
        </is>
      </c>
      <c r="D349" s="12" t="inlineStr">
        <is>
          <t>Nusach Sefard</t>
        </is>
      </c>
      <c r="E349" s="13" t="inlineStr">
        <is>
          <t>בתענית ציבור ובעשי"ת אומרים כאן אבינו מלכנו. גודל מעלת אבינו מלכנו הובא בספרים. ויסדה רבי עקיבא. ונתקן כנגד ברכות אמצעיות דתפלת י"ח דחול. ולפי שיש בו מעין י"ח אין אומרים בשבת.
אָבִֽינוּ מַלְכֵּֽנוּ חָטָֽאנוּ לְפָנֶֽיךָ:
אָבִֽינוּ מַלְכֵּֽנוּ אֵין לָֽנוּ מֶֽלֶךְ אֶלָּא אָֽתָּה:
אָבִֽינוּ מַלְכֵּֽנוּ עֲשֵׂה עִמָּֽנוּ לְמַֽעַן שְׁמֶֽךָ:
בעשי"ת:
אָבִֽינוּ מַלְכֵּֽנוּ חַדֵּשׁ עָלֵֽינוּ שָׁנָה טוֹבָה:
בתענית ציבור:
אָבִֽינוּ מַלְכֵּֽנוּ בָּרֵךְ עָלֵֽינוּ שָׁנָה טוֹבָה:
אָבִֽינוּ מַלְכֵּֽנוּ בַּטֵּל מֵעָלֵֽינוּ כָּל גְּזֵרוֹת קָשׁוֹת:
אָבִֽינוּ מַלְכֵּֽנוּ בַּטֵּל מַחְשְׁ֒בוֹת שׂוֹנְ֒אֵֽינוּ:
אָבִֽינוּ מַלְכֵּֽנוּ הָפֵר עֲצַת אוֹיְ֒בֵֽינוּ:
אָבִֽינוּ מַלְכֵּֽנוּ כַּלֵּה כָּל צַר וּמַשְׂטִין מֵעָלֵֽינוּ:
אָבִֽינוּ מַלְכֵּֽנוּ סְתוֹם פִּיּוֹת מַשְׂטִינֵֽנוּ וּמְ֒קַטְרִיגֵֽנוּ:
אָבִֽינוּ מַלְכֵּֽנוּ כַּלֵּה דֶּֽבֶר וְחֶֽרֶב וְרָעָב וּשְׁ֒בִי וּמַשְׁחִית וְעָוֹן וּשְׁ֒מַד מִבְּ֒נֵי בְרִיתֶֽךָ:
אָבִֽינוּ מַלְכֵּֽנוּ מְנַע מַגֵּפָה מִנַּחֲלָתֶֽךָ:
אָבִֽינוּ מַלְכֵּֽנוּ סְלַח וּמְ֒חַל לְכָל עֲוֹנוֹתֵֽינוּ:
אָבִֽינוּ מַלְכֵּֽנוּ מְחֵה וְהַעֲבֵר פְּשָׁעֵֽינוּ וְחַטֹּאתֵֽינוּ מִנֶּֽגֶד עֵינֶֽיךָ:
אָבִֽינוּ מַלְכֵּֽנוּ מְחוֹק בְּרַחֲמֶֽיךָ הָרַבִּים כָּל שִׁטְ֒רֵי חוֹבוֹתֵֽינוּ:
אָבִֽינוּ מַלְכֵּֽנוּ הַחֲזִירֵֽנוּ בִּתְ֒שׁוּבָה שְׁלֵמָה לְפָנֶֽיךָ:
אָבִֽינוּ מַלְכֵּֽנוּ שְׁלַח רְפוּאָה שְׁלֵמָה לְחוֹלֵי עַמֶּֽךָ:
אָבִֽינוּ מַלְכֵּֽנוּ קְרַע רֹֽעַ גְּזַר דִּינֵֽנוּ:
אָבִֽינוּ מַלְכֵּֽנוּ זָכְ֒רֵֽנוּ בְּזִכָּרוֹן טוֹב לְפָנֶֽיךָ:
בעשרת ימי תשובה:
אָבִֽינוּ מַלְכֵּֽנוּ כָּתְ֒בֵֽנוּ בְּסֵֽפֶר חַיִּים טוֹבִים:
אָבִֽינוּ מַלְכֵּֽנוּ כָּתְ֒בֵֽנוּ בְּסֵֽפֶר גְּאֻלָּה וִישׁוּעָה:
אָבִֽינוּ מַלְכֵּֽנוּ כָּתְ֒בֵֽנוּ בְּסֵֽפֶר פַּרְנָסָה וְכַלְכָּלָה:
אָבִֽינוּ מַלְכֵּֽנוּ כָּתְ֒בֵֽנוּ בְּסֵֽפֶר זְכֻיּוֹת:
אָבִֽינוּ מַלְכֵּֽנוּ כָּתְ֒בֵֽנוּ בְּסֵֽפֶר סְלִיחָה וּמְ֒חִילָה:
בתענית ציבור
אָבִֽינוּ מַלְכֵּֽנוּ זָכְ֒רֵֽנוּ לְחַיִּים טוֹבִים:
אָבִֽינוּ מַלְכֵּֽנוּ זָכְ֒רֵֽנוּ לִגְ֒אֻלָּה וִישׁוּעָה:
אָבִֽינוּ מַלְכֵּֽנוּ זָכְ֒רֵֽנוּ לְפַרְנָסָה וְכַלְכָּלָה:
אָבִֽינוּ מַלְכֵּֽנוּ זָכְ֒רֵֽנוּ לִזְ֒כֻיּוֹת:
אָבִֽינוּ מַלְכֵּֽנוּ זָכְ֒רֵֽנוּ לִסְ֒לִיחָה וּמְ֒חִילָה:
אָבִֽינוּ מַלְכֵּֽנוּ הַצְמַח לָֽנוּ יְשׁוּעָה בְּקָרוֹב:
אָבִֽינוּ מַלְכֵּֽנוּ הָרֵם קֶֽרֶן יִשְׂרָאֵל עַמֶּֽךָ:
אָבִֽינוּ מַלְכֵּֽנוּ הָרֵם קֶֽרֶן מְשִׁיחֶֽךָ:
אָבִֽינוּ מַלְכֵּֽנוּ מַלֵּא יָדֵֽינוּ מִבִּרְ֒כוֹתֶֽיךָ:
אָבִֽינוּ מַלְכֵּֽנוּ מַלֵּא אֲסָמֵֽינוּ שָׂבָע:
אָבִֽינוּ מַלְכֵּֽנוּ שְׁמַע קוֹלֵֽנוּ חוּס וְרַחֵם עָלֵֽינוּ:
אָבִֽינוּ מַלְכֵּֽנוּ קַבֵּל בְּרַחֲמִים וּבְ֒רָצוֹן אֶת תְּפִלָּתֵֽנוּ:
אָבִֽינוּ מַלְכֵּֽנוּ פְּתַח שַׁעֲרֵי שָׁמַֽיִם לִתְ֒פִלָּתֵֽנוּ:
אָבִֽינוּ מַלְכֵּֽנוּ זָכוֹר כִּי עָפָר אֲנָֽחְנוּ:
אָבִֽינוּ מַלְכֵּֽנוּ נָא אַל תְּשִׁיבֵֽנוּ רֵיקָם מִלְּ֒פָנֶֽיךָ:
אָבִֽינוּ מַלְכֵּֽנוּ תְּהֵא הַשָּׁעָה הַזֹּאת שְׁעַת רַחֲמִים וְעֵת רָצוֹן מִלְּ֒פָנֶֽיךָ:
אָבִֽינוּ מַלְכֵּֽנוּ חֲמוֹל עָלֵֽינוּ וְעַל עוֹלָלֵֽינוּ וְטַפֵּֽנוּ:
אָבִֽינוּ מַלְכֵּֽנוּ עֲשֵׂה לְמַֽעַן הֲרוּגִים עַל שֵׁם קָדְשֶֽׁךָ:
אָבִֽינוּ מַלְכֵּֽנוּ עֲשֵׂה לְמַֽעַן טְבוּחִים עַל יִחוּדֶֽךָ:
אָבִֽינוּ מַלְכֵּֽנוּ עֲשֵׂה לְמַֽעַן בָּאֵי בָאֵשׁ וּבַמַּֽיִם עַל קִדּוּשׁ שְׁמֶֽךָ:
אָבִֽינוּ מַלְכֵּֽנוּ נְקוֹם לְעֵינֵֽינוּ נִקְ֒מַת דַּם עֲבָדֶֽיךָ הַשָּׁפוּךְ:
אָבִֽינוּ מַלְכֵּֽנוּ עֲשֵׂה לְמַעַנְ֒ךָ אִם לֺא לְמַעֲנֵֽנוּ:
אָבִֽינוּ מַלְכֵּֽנוּ עֲשֵׂה לְמַעַנְ֒ךָ וְהוֹשִׁיעֵֽנוּ:
אָבִֽינוּ מַלְכֵּֽנוּ עֲשֵׂה לְמַֽעַן רַחֲמֶֽיךָ הָרַבִּים:
אָבִֽינוּ מַלְכֵּֽנוּ עֲשֵׂה לְמַֽעַן שִׁמְךָ הַגָּדוֹל הַגִּבּוֹר וְהַנּוֹרָא שֶׁנִּקְרָא עָלֵֽינוּ:
אָבִֽינוּ מַלְכֵּֽנוּ חָנֵּֽנוּ וַעֲנֵֽנוּ כִּי אֵין בָּֽנוּ מַעֲשִׂים עֲשֵׂה עִמָּֽנוּ צְדָקָה וָחֶֽסֶד וְהוֹשִׁיעֵֽנוּ:</t>
        </is>
      </c>
      <c r="F349" s="10" t="inlineStr"/>
      <c r="G349" s="14" t="inlineStr">
        <is>
          <t>Siddur Sefard, Weekday Mincha, Avinu Malkeinu</t>
        </is>
      </c>
      <c r="H349" s="12" t="inlineStr">
        <is>
          <t>The Metsudah siddur, 1981 — CC-BY</t>
        </is>
      </c>
      <c r="I349" s="12" t="inlineStr">
        <is>
          <t>sefaria-siddur-sefard-weekday-mincha-avinu-malkeinu</t>
        </is>
      </c>
    </row>
    <row r="350" ht="409" customHeight="1">
      <c r="A350" s="7">
        <f>IF(LEN(TRIM(F350))=0,"Approved","Comment to address")</f>
        <v/>
      </c>
      <c r="B350" s="8" t="inlineStr">
        <is>
          <t>Motzaei Shabbat</t>
        </is>
      </c>
      <c r="C350" s="8" t="inlineStr">
        <is>
          <t>shabbat</t>
        </is>
      </c>
      <c r="D350" s="8" t="inlineStr">
        <is>
          <t>Nusach Sefard</t>
        </is>
      </c>
      <c r="E350" s="9" t="inlineStr">
        <is>
          <t>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(בעשי"ת וּלְעֵֽלָּא מִכָּל) מִן כָּל בִּרְכָתָא וְשִׁירָתָא, תֻּשְׁבְּחָתָא וְנֶחֱמָתָא, דַּאֲמִירָן בְּעָלְ֒מָא, וְאִמְרוּ אָמֵן:
וִיהִי נֹֽעַם אֲדֹנָי אֱלֹהֵֽינוּ עָלֵֽינוּ וּמַעֲשֵׂה יָדֵֽינוּ כּוֹנְנָה עָלֵֽינוּ וּמַעֲשֵׂה יָדֵֽינוּ כּוֹנְנֵֽהוּ:
ישֵׁב בְּסֵֽתֶר עֶלְיוֹן בְּצֵל שַׁדַּי יִתְלוֹנָן: אֹמַר לַיהֹוָה מַחְסִי וּמְצוּדָתִי אֱלֹהַי אֶבְטַח־בּוֹ: כִּי הוּא יַצִּילְךָ מִפַּח יָקוּשׁ מִדֶּֽבֶר הַוּֽוֹת: בְּאֶבְרָתוֹ יָֽסֶךְ לָךְ וְתַֽחַת־כְּנָפָיו תֶּחְסֶה צִנָּה וְסֹחֵרָה אֲמִתּוֹ: לֹא־תִירָא מִפַּֽחַד לָֽיְלָה מֵחֵץ יָעוּף יוֹמָם: מִדֶּֽבֶר בָּאֹֽפֶל יַהֲלֹךְ מִקֶּֽטֶב יָשׁוּד צָהֳרָֽיִם: יִפֹּל מִצִּדְּךָ אֶֽלֶף וּרְבָבָה מִימִינֶֽךָ אֵלֶֽיךָ לֹא יִגָּשׁ: רַק בְּעֵינֶֽיךָ תַבִּיט וְשִׁלֻּמַת רְשָׁעִים תִּרְאֶה: כִּי־אַתָּה יְהֹוָה מַחְסִי עֶלְיוֹן שַֽׂמְתָּ מְעוֹנֶֽךָ: לֹא־תְאֻנֶּה אֵלֶֽיךָ רָעָה וְנֶֽגַע לֹא־יִקְרַב בְּאָהֳלֶֽךָ: כִּי מַלְאָכָיו יְצַוֶּה־לָּךְ לִשְׁמָרְךָ בְּכָל־דְּרָכֶֽיךָ: עַל־כַּפַּֽיִם יִשָּׂאֽוּנְךָ פֶּן־תִּגֹּף בָּאֶֽבֶן רַגְלֶֽךָ: עַל־שַֽׁחַל וָפֶֽתֶן תִּדְרֹךְ תִּרְמֹס כְּפִיר וְתַנִּין: כִּי בִי חָשַׁק וַאֲפַלְּטֵֽהוּ אֲשַׂגְּבֵֽהוּ כִּי־יָדַע שְׁמִי: יִקְרָאֵֽנִי וְאֶעֱנֵֽהוּ עִמּוֹ־אָנֹכִי בְצָרָה אֲחַלְּצֵֽהוּ וַאֲכַבְּדֵֽהוּ: אֹֽרֶךְ יָמִים אַשְׂבִּיעֵֽהוּ וְאַרְאֵֽהוּ בִּישׁוּעָתִי: אֹֽרֶךְ יָמִים אַשְׂבִּיעֵֽהוּ וְאַרְאֵֽהוּ בִּישׁוּעָתִי:
וְאַתָּה קָדוֹשׁ יוֹשֵׁב תְּהִלּוֹת יִשְׂרָאֵל: וְקָרָא זֶה אֶל זֶה וְאָמַר
קָדוֹשׁ קָדוֹשׁ קָדוֹשׁ יְהֹוָה צְבָאוֹת מְלֹא כָל הָאָֽרֶץ כְּבוֹדוֹ:
וּמְקַבְּ֒לִין דֵּין מִן דֵּין וְאָמְרִין קַדִּישׁ בִּשְׁמֵי מְרוֹמָא עִלָּאָה בֵּית שְׁכִינְתֵּהּ קַדִּישׁ עַל אַרְעָא עוֹבַד גְּבוּרְתֵּהּ קַדִּישׁ לְעָלַם וּלְעָלְמֵי עָלְמַיָּא יְהֹוָה צְבָאוֹת. מַלְיָא כָל אַרְעָא זִיו יְקָרֵהּ:
וַתִּשָּׂאֵֽנִי רֽוּחַ וָאֶשְׁמַע אַחֲרַי קוֹל רַֽעַשׁ גָּדוֹל
בָּרוּךְ כְּבוֹד יְהֹוָה מִמְּ֒קוֹמוֹ:
וּנְטָלַתְנִי רוּחָא וּשְׁמָעִית בַּתְרַי קָל זִֽיעַ סַגִּיא דִּמְשַׁבְּ֒חִין וְאָמְרִין בְּרִיךְ יְקָרָא דַיהֹוָה מֵאֲתַר בֵּית שְׁכִינְתֵּהּ: יְהֹוָה יִמְלֹךְ לְעוֹלָם וָעֶד: יְהֹוָה מַלְכוּתֵהּ קָאֵים לְעָלַם וּלְעָלְמֵי עָלְמַיָּא: יְהֹוָה אֱלֹהֵי אַבְרָהָם יִצְחָק וְיִשְׂרָאֵל אֲבוֹתֵֽינוּ שָׁמְרָה זֹאת לְעֹלָם לְיֵֽצֶר מַחְשְׁ֒בוֹת לְבַב עַמֶּֽךָ וְהָכֵן לְבָבָם אֵלֶֽיךָ: וְהוּא רַחוּם יְכַפֵּר עָוֹן וְלֹא יַשְׁחִית וְהִרְבָּה לְהָשִׁיב אַפּוֹ וְלֹא יָעִיר כָּל חֲמָתוֹ: כִּי אַתָּה אֲדֹנָי טוֹב וְסַלָּח וְרַב חֶֽסֶד לְכָל קֹרְ֒אֶֽיךָ: צִדְקָתְ֒ךָ צֶֽדֶק לְעוֹלָם וְתוֹרָתְ֒ךָ אֱמֶת: תִּתֵּן אֱמֶת לְיַעֲקֹב חֶֽסֶד לְאַבְרָהָם אֲשֶׁר נִשְׁבַּֽעְתָּ לַאֲבוֹתֵֽינוּ מִֽימֵי קֶֽדֶם: בָּרוּךְ אֲדֹנָי יוֹם יוֹם יַעֲמָס לָֽנוּ הָאֵל יְשׁוּעָתֵֽנוּ סֶֽלָה: יְהֹוָה צְבָאוֹת עִמָּֽנוּ מִשְׂגָּב לָֽנוּ אֱלֹהֵי יַעֲקֹב סֶֽלָה: יְהֹוָה צְבָאוֹת אַשְׁרֵי אָדָם בֹּטֵֽחַ בָּךְ: יְהֹוָה הוֹשִֽׁיעָה הַמֶּֽלֶךְ יַעֲנֵֽנוּ בְיוֹם קָרְאֵֽנוּ: בָּרוּךְ הוּא אֱלֹהֵֽינוּ שֶׁבְּ֒רָאָֽנוּ לִכְבוֹדוֹ וְהִבְדִּילָֽנוּ מִן הַתּוֹעִים וְנָֽתַן לָֽנוּ תּוֹרַת אֱמֶת וְחַיֵּי עוֹלָם נָטַע בְּתוֹכֵֽנוּ הוּא יִפְתַּח לִבֵּֽנוּ בְּתוֹרָתוֹ וְיָשֵׂם בְּלִבֵּֽנוּ אַהֲבָתוֹ וְיִרְאָתוֹ וְלַעֲשׂוֹת רְצוֹנוֹ וּלְעָבְדוֹ בְּלֵבָב שָׁלֵם לְמַֽעַן לֹא נִיגַע לָרִיק וְלֹא נֵלֵד לַבֶּהָלָה: יְהִי רָצוֹן מִלְּפָנֶֽיךָ יְהֹוָה אֱלֹהֵֽינוּ וֵאלֹהֵי אֲבוֹתֵֽינוּ שֶׁנִּשְׁמֹר חֻקֶּֽיךָ בָּעוֹלָם הַזֶּה וְנִזְכֶּה וְנִחְיֶה וְנִרְאֶה וְנִירַשׁ טוֹבָה וּבְרָכָה לִשְׁנֵי יְמוֹת הַמָּשִֽׁיחַ וּלְחַיֵּי הָעוֹלָם הַבָּא: לְמַֽעַן יְזַמֶּרְךָ כָבוֹד וְלֹא יִדֹּם יְהֹוָה אֱלֹהַי לְעוֹלָם אוֹדֶֽךָ: בָּרוּךְ הַגֶּֽבֶר אֲשֶׁר יִבְטַח בַּיהֹוָה וְהָיָה יְהֹוָה מִבְטַחוֹ: בִּטְחוּ בַיהֹוָה עֲדֵי עַד כִּי בְּיָהּ יְהֹוָה צוּר עוֹלָמִים: וְיִבְטְ֒חוּ בְךָ יוֹדְ֒עֵי שְׁמֶֽךָ כִּי לֹא עָזַֽבְתָּ דֹרְ֒שֶֽׁיךָ יְהֹוָה: יְהֹוָה חָפֵץ לְמַֽעַן צִדְקוֹ יַגְדִּיל תּוֹרָה וְיַאְדִּיר: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דְקֻדְשָׁא. בְּרִיךְ הוּא לְעֵֽלָּא (בעשי"ת וּלְעֵֽלָּא מִכָּל) מִן כָּל בִּרְכָתָא וְשִׁירָתָא. תֻּשְׁבְּ֒חָתָא וְנֶחֱמָתָא. דַּאֲמִירָן בְּעָלְמָא. וְאִמְרוּ אָמֵן:
תִּתְקַבֵּל צְלוֹתְ֒הוֹן וּבָעוּתְ֒הוֹן דְּכָל בֵּית יִשְׂרָאֵל קֳדָם אֲבוּהוֹן דִּי בִשְׁמַיָּא וְאִמְרוּ אָמֵן:
יְהֵא שְׁלָמָא רַבָּא מִן שְׁמַיָּא וְחַיִּים עָלֵֽינוּ וְעַל כָּל יִשְׂרָאֵל וְאִמְרוּ אָמֵן:
עוֹשֶׂה שָׁלוֹם בִּמְרוֹמָיו הוּא יַעֲשֶׂה שָׁלוֹם עָלֵֽינוּ וְעַל כָּל יִשְׂרָאֵל וְאִמְרוּ אָמֵן:
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
יִתְגַּדַּל וְיִתְקַדַּשׁ שְׁמֵהּ רַבָּא בְּעָלְמָא דִּי בְרָא כִרְעוּתֵהּ וְיַמְלִיךְ מַלְכוּתֵהּ וְיַצְמַח פּוּרְ֒קָנֵהּ וִיקָרֵב (קֵץ) מְשִׁיחֵהּ.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דְקֻדְשָׁא. בְּרִיךְ הוּא לְעֵלָּא (בעשי"ת וּלְעֵלָּא מִכָּל) מִן כָּל בִּרְכָתָא וְשִׁירָתָא. תֻּשְׁבְּחָתָא וְנֶחֱמָתָא. דַּאֲמִירָן בְּעָלְמָא. וְאִמְרוּ אָמֵן:
יְהֵא שְׁלָמָא רַבָּא מִן שְׁמַיָּא וְחַיִּים עָלֵֽינוּ וְעַל כָּל יִשְׂרָאֵל. וְאִמְרוּ אָמֵן:
עוֹשֶׂה שָׁלוֹם בִּמְרוֹמָיו הוּא יַעֲשֶׂה שָׁלוֹם עָלֵֽינוּ וְעַל כָּל יִשְׂרָאֵל וְאִמְרוּ אָמֵן:</t>
        </is>
      </c>
      <c r="F350" s="10" t="inlineStr"/>
      <c r="G350" s="11" t="inlineStr">
        <is>
          <t>Siddur Sefard, Weekday Maariv, Motzaei Shabbat</t>
        </is>
      </c>
      <c r="H350" s="8" t="inlineStr">
        <is>
          <t>The Metsudah siddur, 1981 — CC-BY</t>
        </is>
      </c>
      <c r="I350" s="8" t="inlineStr">
        <is>
          <t>sefaria-siddur-sefard-weekday-maariv-motzaei-shabbat</t>
        </is>
      </c>
    </row>
    <row r="351" ht="409" customHeight="1">
      <c r="A351" s="7">
        <f>IF(LEN(TRIM(F351))=0,"Approved","Comment to address")</f>
        <v/>
      </c>
      <c r="B351" s="12" t="inlineStr">
        <is>
          <t>Bedtime Shema</t>
        </is>
      </c>
      <c r="C351" s="12" t="inlineStr">
        <is>
          <t>sleep</t>
        </is>
      </c>
      <c r="D351" s="12" t="inlineStr">
        <is>
          <t>Nusach Sefard</t>
        </is>
      </c>
      <c r="E351" s="13" t="inlineStr">
        <is>
          <t>רִבּוֹנוֹ שֶׁל־עוֹלָם הֲרֵינִי מוֹחֵל לְכָל־מִי שֶׁהִכְעִיס וְהִקְנִיט אוֹתִי אוֹ שֶׁחָטָא כְּנֶגְדִי בֵּין בְּגוּפִי בֵּין בְּמֶמוֹנִי בֵין בִּכְבוֹדִי בֵין בְכָל אֲשֶׁר לִי בֵין בְּאוֹנֶס בֵּין בְּרָצוֹן בֵּין בְּשׁוֹגֵג בֵּין בְּמֵזִיד בֵין בְּדִבּוּר בֵּין בְּמַעֲשֶׂה בֵּין בְּגִלְגוּל זֶה בֵּין בְּגִלְגּוּל אַחֵר לְכָל־בַּר יִשְׂרָאֵל וְלֹא יֵעָנֵשׁ שׁוּם אָדָם בְסִבָּתִי יְהִי רָצוֹן מִלְּפָנֶֽיךָ יְהֹוָה אֱלֹהַי וֵאלֹהֵי אֲבוֹתַי שֶׁלֹּא אֶחְטֶא עוֹד וְלֹא אֶחֱזוֹר בָּהֶם וְלֹא אָשׁוּב עוֹד לְהַכְעִיסֶךָ וְלֹא אֶעֱשֶׂה הָרַע בְּעֵינֶֽיךָ וּמַה־שֶׁחָטָֽאתִי מְחוֹק בְּרַחֲמֶֽיךָ הָרַבִּים וְלֹא עַל יְדֵי יִסּוּרִים וָחֳלֶיִם רָעִים: יִהְיוּ לְרָצוֹן אִמְרֵי־פִי וְהֶגְיוֹן לִבִּי לְפָנֶֽיךָ יְהֹוָה צוּרִי וְגֹאֲלִי:
בָּרוּךְ אַתָּה יְהֹוָה אֱלֺהֵֽינוּ מֶֽלֶךְ הָעוֹלָם הַמַּפִּיל חֶבְלֵי שֵׁנָה עַל עֵינָי וּתְנוּמָה עַל עַפְעַפָּי: וּמֵאִיר לְאִישׁוֹן בַּת עָיִן. וִיהִי רָצוֹן מִלְּ֒פָנֶֽיךָ יְהֹוָה אֱלֺהַי וֵאלֺהֵי אֲבוֹתַי שֶׁתַּשְׁכִּיבֵֽנִי לְשָׁלוֹם וְתַעֲמִידֵֽנִי לְחַיִים טוֹבִים וּלְשָׁלוֹם וְתֵן חֶלְקֵי בְּתוֹרָתֶךָ וְתַרְגִילֵנוּ לִדְבַר מִצְוָה וְאַל תַּרְגִילֵנוּ לִדְבַר עַבֵרָה וְאַל תְּבִיאֵֽנוּ לֹא לִידֵי חֵטְא וְלֹא לִידֵי נִסָּיוֹן וְלֹא לִידֵי בִזָּיוֹן וְיִשְׁלֹט בִּי יֵצֵר הַטוֹב וְאַל יִשְׁלֹט בִּי יֵֽצֶר הָרָע וְתַצִילֵנוּ מִשָׂטָן וּמִפֶגַע רָע וּמֵחָלָיִם רָעִים וְאַל יְבַהֲלֽוּנִי רַעְיוֹנַי וַחֲלוֹמוֹת רָעִים וְהַרְהוֹרִים רָעִים וּתְהֵא מִטָּתִי שְׁלֵמָה לְפָנֶֽיךָ: וְהָאֵר עֵינַי פֶּן אִישַׁן הַמָּֽוֶת. בָּרוּךְ אַתָּה יְהֹוָה הַמֵּאִיר לָעוֹלָם כֻּלּוֹ בִּכְבוֹדוֹ:
מי שאינו מדקדק לקרות ק"ש בבהכ"נ בזמנה צריך לקרות ק"ש על מטתו שתי פרשיות שמע והיה אם שמוע. אבל פ' ויאמר שהוא משום הזכרת יצ"מ אין צריך לחזור ולקרות על מטתו כיון שכבר הזכיר בבהכ"נ. אבל מי שקורא ק"ש בזמנה אין צריך לקרות על מטתו רק פרשה ראשונה לבד. ורי"ו כתב על פי המדרש לומר כל שלש פרשיות על מטתו משום שהוא רמ"ח תיבות לשמור רמ"ח איבריו. (דה"ח ומ"א)
אֵל מֶֽלֶךְ נֶאֱמָן:
שְׁמַע יִשְׂרָאֵל יְהֹוָה אֱלֹהֵֽינוּ יְהֹוָה אֶחָד:
יש להפסיק מעט בין אחד לברוך כי עיקר קבול עול מלכות שמים היא פסוק ראשון.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וִיהִי נֹֽעַם אֲדֹנָי אֱלֹהֵֽינוּ עָלֵֽינוּ וּמַעֲשֵׂה יָדֵֽינוּ כּוֹנְנָה עָלֵֽינוּ וּמַעֲשֵׂה יָדֵֽינוּ כּוֹנְנֵֽהוּ:
ישֵׁב בְּסֵֽתֶר עֶלְיוֹן בְּצֵל שַׁדַּי יִתְלוֹנָן: אֹמַר לַיהֹוָה מַחְסִי וּמְצוּדָתִי אֱלֹהַי אֶבְטַח־בּוֹ: כִּי הוּא יַצִּילְךָ מִפַּח יָקוּשׁ מִדֶּֽבֶר הַוָּוֹת: בְּאֶבְרָתוֹ יָֽסֶךְ לָךְ וְתַֽחַת־כְּנָפָיו תֶּחְסֶה צִנָּה וְסֹחֵרָה אֲמִתּוֹ: לֹא־תִירָא מִפַּֽחַד לָֽיְלָה מֵחֵץ יָעוּף יוֹמָם: מִדֶּֽבֶר בָּאֹֽפֶל יַהֲלֹךְ מִקֶּֽטֶב יָשׁוּד צָהֳרָֽיִם: יִפֹּל מִצִּדְּךָ אֶֽלֶף וּרְבָבָה מִימִינֶֽךָ אֵלֶֽיךָ לֹא יִגָּשׁ: רַק בְּעֵינֶֽיךָ תַבִּיט וְשִׁלֻּמַת רְשָׁעִים תִּרְאֶה: כִּי־אַתָּה יְהֹוָה מַחְסִי עֶלְיוֹן שַֽׂמְתָּ מְעוֹנֶֽךָ: לֹא־תְאֻנֶּה אֵלֶֽיךָ רָעָה וְנֶֽגַע לֹא־יִקְרַב בְּאָהֳלֶֽךָ: כִּי מַלְאָכָיו יְצַוֶּה־לָּךְ לִשְׁמָרְךָ בְּכָל־דְּרָכֶֽיךָ: עַל־כַּפַּֽיִם יִשָּׂאֽוּנְךָ פֶּן־תִּגֹּף בָּאֶֽבֶן רַגְלֶֽךָ: עַל־שַֽׁחַל וָפֶֽתֶן תִּדְרֹךְ תִּרְמֹס כְּפִיר וְתַנִּין: כִּי בִי חָשַׁק וַאֲפַלְּטֵֽהוּ אֲשַׂגְּבֵֽהוּ כִּי־יָדַע שְׁמִי: יִקְרָאֵֽנִי וְאֶעֱנֵֽהוּ עִמּוֹ־אָנֹכִי בְצָרָה אֲחַלְּצֵֽהוּ וַאֲכַבְּדֵֽהוּ: אֹֽרֶךְ יָמִים אַשְׂבִּיעֵֽהוּ וְאַרְאֵֽהוּ בִּישׁוּעָתִי: אֹֽרֶךְ יָמִים אַשְׂבִּיעֵֽהוּ וְאַרְאֵֽהוּ בִּישׁוּעָתִי:
יְהֹוָה מָה־רַבּוּ צָרָי רַבִּים קָמִים עָלָי: רַבִּים אֹמְ֒רִים לְנַפְשִׁי אֵין יְשׁוּעָֽתָה לוֹ בֵאלֺהִים סֶֽלָה: וְאַתָּה יְהֹוָה מָגֵן בַּעֲדִי כְּבוֹדִי וּמֵרִים רֹאשִׁי: קוֹלִי אֶל־יְהֹוָה אֶקְרָא וַיַּעֲנֵֽנִי מֵהַר קָדְשׁוֹ סֶֽלָה: אֲנִי שָׁכַֽבְתִּי וָאִישָֽׁנָה הֱקִיצֽוֹתִי כִּי יְהֹוָה יִסְמְ֒כֵֽנִי: לֺא אִירָא מֵרִבְבוֹת עָם אֲשֶׁר סָבִיב שָֽׁתוּ עָלָי: קוּמָה יְהֹוָה הוֹשִׁיעֵֽנִי אֱלֺהַי כִּי־הִכִּֽיתָ אֶת־כָּל אֹיְ֒בַי לֶֽחִי שִׁנֵּי רְשָׁעִים שִׁבַּֽרְתָּ: לַיהוָֹה הַיְ֒שׁוּעָה עַל־עַמְּ֒ךָ בִרְכָתֶֽךָ סֶֽלָה:
הַשְׁכִּיבֵֽנוּ יְהֹוָה אֱלֺהֵֽינוּ לְשָׁלוֹם וְהַעֲמִידֵֽנוּ מַלְכֵּֽנוּ לְחַיִּים טוֹבִים וּלשָׁלוֹם. וּפְרוֹשׂ עָלֵֽינוּ סֻכַּת שְׁלוֹמֶֽךָ וְתַקְּ֒נֵֽנוּ בְּעֵצָה טוֹבָה מִלְּ֒פָנֶֽיךָ וְהוֹשִׁיעֵֽנוּ מְהֵרָה לְמַֽעַן שְׁמֶֽךָ. וְהָגֵן בַּעֲדֵֽנוּ וְהָסֵר מֵעָלֵֽינוּ אוֹיֵב דֶּֽבֶר וְחֶֽרֶב וְרָעָב וְיָגוֹן וְהָסֵר שָׂטָן מִלְּ֒פָנֵֽינוּ וּמֵאַחֲרֵֽינוּ וּבְצֵל כְּנָפֶֽיךָ תַּסְתִּירֵֽנוּ. כִּי אֵל שׁוֹמְ֒רֵֽנוּ וּמַצִּילֵֽנוּ אָֽתָּה כִּי אֵל מֶֽלֶךְ חַנּוּן וְרַחוּם אָֽתָּה. וּשְׁמוֹר צֵאתֵֽנוּ וּבוֹאֵֽנוּ לְחַיִּים וּלְשָׁלוֹם מֵעַתָּה וְעַד עוֹלָם:
בָּרוּךְ יְהֹוָה בַּיּוֹם בָּרוּךְ יְהֹוָה בַּלָּֽיְלָה בָּרוּךְ יְהֹוָה בְּשָׁכְבֵֽנוּ בָּרוּךְ יְהֹוָה בְּקוּמֵֽנוּ. כִּי בְיָדְ֒ךָ נַפְשׁוֹת הַחַיִּים וְהַמֵּתִים אֲשֶׁר בְּיָדוֹ נֶֽפֶשׁ כָּל חָי וְרֽוּחַ כָּל בְּשַׂר אִישׁ. בְּיָדְ֒ךָ אַפְקִיד רוּחִי פָּדִֽיתָה אוֹתִי יְהֹוָה אֵל אֱמֶת. אֱלֺהֵֽינוּ שֶׁבַּשָּׁמַֽיִם יַחֵד שִׁמְךָ וְקַיֵּם מַלְכוּתְ֒ךָ תָּמִיד וּמְלֺךְ עָלֵֽינוּ לְעוֹלָם וָעֶד:
יִרְאוּ עֵינֵֽינוּ וְיִשְׂמַח לִבֵּֽנוּ וְתָגֵל נַפְשֵֽׁנוּ בִּישׁוּעָתְ֒ךָ בֶּאֱמֶת בֶּאֱמוֹר לְצִיּוֹן מָלַךְ אֱלֺהָֽיִךְ. יְהֹוָה מֶֽלֶךְ יְהֹוָה מָלָךְ יְהֹוָה יִמְלֹךְ לְעוֹלָם וָעֶד: כִּי הַמַּלְכוּת שֶׁלְּ֒ךָ הִיא וּלְעֽוֹלְ֒מֵי עַד תִּמְלוֹךְ בְּכָבוֹד כִּי אֵין לָֽנוּ מֶֽלֶךְ אֶלָּא אָֽתָּה:
הַמַּלְאָךְ הַגֹּאֵל אֹתִי מִכָּל רָע יְבָרֵךְ אֶת הַנְּ֒עָרִים וְיִקָּרֵא בָהֶם שְׁמִי וְשֵׁם אֲבוֹתַי אַבְרָהָם וְיִצְחָק וְיִדְגּוּ לָרֹב בְּקֶֽרֶב הָאָֽרֶץ:
וַיֹּֽאמֶר אִם שָׁמֽוֹעַ תִּשְׁמַע לְקוֹל יְהֹוָה אֱלֺהֶֽיךָ וְהַיָּשָׁר בְּעֵינָיו תַּעֲשֶׂה וְהַאֲזַנְתָּ לְמִצְוֹתָיו וְשָׁמַרְתָּ כָּל חֻקָּיו כָּל הַמַּחֲלָה אֲשֶׁר שַֽׂמְתִּי בְמִצְרַֽיִם לֺא אָשִׂים עָלֶֽיךָ כִּי אֲנִי יְהֹוָה רֹפְ֒אֶֽךָ:
וַיֹּֽאמֶר יְהֹוָה אֶל הַשָּׂטָן יִגְעַר יְהֹוָה בְּךָ הַשָּׂטָן וְיִגְעַר יְהֹוָה בְּךָ הַבֹּחֵר בִּירוּשָׁלָֽםִ הֲלֺא זֶה אוּד מֻצָּל מֵאֵשׁ
הִנֵּה מִטָּתוֹ שֶׁלִּשְׁלֺמֹה שִׁשִּׁים גִּבֹּרִים סָבִיב לָהּ מִגִּבֹּרֵי יִשְׂרָאֵל כֻּלָּם אֲחֻֽזֵי חֶֽרֶב מְלֻמְּ֒דֵי מִלְחָמָה אִישׁ חַרְבּוֹ עַל יְרֵכוֹ מִפַּֽחַד בַּלֵּילוֹת
יאמר כל פסוק ג"פ:
יְבָרֶכְךָ יְהֹוָה וְיִשְׁמְרֶֽךָ יָאֵר יְהֹוָה פָּנָיו אֵלֶֽיךָ וִיחֻנֶּֽךָּ: יִשָּׂא יְהֹוָה פָּנָיו אֵלֶֽיךָ וְיָשֵׂם לְךָ שָׁלוֹם:
הִנֵּה לֺא יָנוּם וְלֺא יִישָׁן שׁוֹמֵר יִשְׂרָאֵל:
לִישׁוּעָתְ֒ךָ קִוִּיתִי יְהֹוָה קִוִּיתִי יְהֹוָה לִישׁוּעָתְ֒ךָ יְהֹוָה לִישׁוּעָתְ֒ךָ קִוִּיתִי
בְּשֵׁם יְהֹוָה אֱלֺהֵי יִשְׂרָאֵל מִימִינִי מִיכָאֵל וּמִשְּׂ֒מֹאלִי גַבְרִיאֵל וּמִלְּ֒פָנַי אוֹרִיאֵל וּמֵאֲחוֹרַי רְפָאֵל וְעַל רֹאשִי שְׁכִינַת אֵל:
שִׁיר הַמַּעֲלוֹת אַשְׁרֵי כָּל־יְרֵא יְהֹוָה הַהֹלֵךְ בִּדְרָכָיו: יְגִֽיעַ כַּפֶּֽיךָ כִּי תֹאכֵל אַשְׁרֶֽיךָ וְטוֹב לָךְ: אֶשְׁתְּ֒ךָ כְּגֶֽפֶן פֹּרִיָּה בְּיַרְכְּ֒תֵי בֵיתֶֽךָ בָּנֶֽיךָ כִּשְׁתִלֵי זֵיתִים סָבִיב לְשֻׁלְחָנֶֽךָ: הִנֵּה כִי־כֵן יְבֹֽרַךְ גָּֽבֶר יְרֵא יְהֹוָה: יְבָרֶכְךָ יְהֹוָה מִצִּיּוֹן וּרְאֵה בְּטוּב יְרוּשָׁלָֽםִ כֹּל יְמֵי חַיֶּֽיךָ: וּרְאֵה־ בָנִים לְבָנֶֽיךָ שָׁלוֹם עַל־יִשְׂרָאֵל:
יאמר כל פסוק ג"פ:
רִגְזוּ וְאַל תֶּחֱטָֽאוּ אִמְרוּ בִלְבַבְכֶם עַל מִשְׁכַּבְכֶם וְדֹֽמּוּ סֶֽלָה:
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t>
        </is>
      </c>
      <c r="F351" s="10" t="inlineStr"/>
      <c r="G351" s="14" t="inlineStr">
        <is>
          <t>Siddur Sefard, Bedtime Shema</t>
        </is>
      </c>
      <c r="H351" s="12" t="inlineStr">
        <is>
          <t>The Metsudah siddur, 1981 — CC-BY</t>
        </is>
      </c>
      <c r="I351" s="12" t="inlineStr">
        <is>
          <t>sefaria-siddur-sefard-bedtime-shema</t>
        </is>
      </c>
    </row>
    <row r="352" ht="386" customHeight="1">
      <c r="A352" s="7">
        <f>IF(LEN(TRIM(F352))=0,"Approved","Comment to address")</f>
        <v/>
      </c>
      <c r="B352" s="8" t="inlineStr">
        <is>
          <t>Eishet Chayil</t>
        </is>
      </c>
      <c r="C352" s="8" t="inlineStr">
        <is>
          <t>shabbat</t>
        </is>
      </c>
      <c r="D352" s="8" t="inlineStr">
        <is>
          <t>Nusach Sefard</t>
        </is>
      </c>
      <c r="E352" s="9" t="inlineStr">
        <is>
          <t>אֵשֶׁת חַיִל מִי יִמְצָא וְרָחֹק מִפְּנִינִים מִכְרָהּ:
בָּטַח בָּהּ לֵב בַּעְלָהּ וְשָׁלָל לֹא יֶחְסָר:
גְּמָלַתְהוּ טוֹב וְלֹא רָע כָּל יְמֵי חַיֶּיה:
דָּרְשָׁה צֶמֶר וּפִשְׁתִּים וַתַּעַשׂ בְּחֵפֶץ כַּפֶּיהָ:
הָיְתָה כָּאֳנִיּוֹת סוֹחֵר מִמֶּרְחָק תָּבִיא לַחְמָהּ:
וַתָּקָם בְּעוֹד לַיְלָה וַתִּתֵּן טֶרֶף לְבֵיתָהּ וְחֹק לְנַעֲרֹתֶיהָ:
זָמְמָה שָׂדֶה וַתִּקָּחֵהוּ מִפְּרִי כַפֶּיהָ נָטְעָה כָּרֶם:
חָגְרָה בְעוֹז מָתְנֶיהָ וַתְּאַמֵּץ זְרֹעוֹתֶיהָ:
טָעֲמָה כִּי טוֹב סַחְרָהּ לֹא יִכְבֶּה בַלַּיְלָה נֵרָהּ:
יָדֶיהָ שִׁלְּחָה בַכִּישׁוֹר וְכַפֶּיהָ תָּמְכוּ פָלֶךְ:
כַּפָּהּ פָּרְשָׂה לֶעָנִי וְיָדֶיהָ שִׁלְּחָה לָאֶבְיוֹן:
לֹא תִירָא לְבֵיתָהּ מִשָּׁלֶג כִּי כָל בֵּיתָהּ לָבֻשׁ שָׁנִים:
מַרְבַדִּים עָשְׂתָה לָּהּ שֵׁשׁ וְאַרְגָּמָן לְבוּשָׁהּ:
נוֹדָע בַּשְּׁעָרִים בַּעְלָהּ בְּשִׁבְתּוֹ עִם זִקְנֵי אָרֶץ:
סָדִין עָשְׂתָה וַתִּמְכֹּר וַחֲגוֹר נָתְנָה לַכְּנַעֲנִי:
עֹז וְהָדָר לְבוּשָׁהּ וַתִּשְׂחַק לְיוֹם אַחֲרוֹן:
פִּיהָ פָּתְחָה בְחָכְמָה וְתוֹרַת חֶסֶד עַל לְשׁוֹנָהּ:
צוֹפִיָּה הֲלִיכוֹת בֵּיתָהּ וְלֶחֶם עַצְלוּת לֹא תֹאכֵל:
קָמוּ בָנֶיהָ וַיְאַשְּׁרוּהָ בַּעְלָהּ וַיְהַלְלָהּ:
רַבּוֹת בָּנוֹת עָשׂוּ חָיִל וְאַתְּ עָלִית עַל כֻּלָּנָה:
שֶׁקֶר הַחֵן וְהֶבֶל הַיֹּפִי אִשָּׁה יִרְאַת יְהֹוָה הִיא תִתְהַלָּל:
תְּנוּ לָהּ מִפְּרִי יָדֶיהָ וִיהַלְלוּהָ בַשְּׁעָרִים מַעֲשֶׂיהָ:</t>
        </is>
      </c>
      <c r="F352" s="10" t="inlineStr"/>
      <c r="G352" s="11" t="inlineStr">
        <is>
          <t>Siddur Sefard, Shabbat Evening Meal, Eishet Chayil</t>
        </is>
      </c>
      <c r="H352" s="8" t="inlineStr">
        <is>
          <t>Torat Emet 357 — Public Domain</t>
        </is>
      </c>
      <c r="I352" s="8" t="inlineStr">
        <is>
          <t>sefaria-siddur-sefard-shabbat-evening-meal-eishet-chayil</t>
        </is>
      </c>
    </row>
    <row r="353" ht="46" customHeight="1">
      <c r="A353" s="7">
        <f>IF(LEN(TRIM(F353))=0,"Approved","Comment to address")</f>
        <v/>
      </c>
      <c r="B353" s="12" t="inlineStr">
        <is>
          <t>Bar Mitzva</t>
        </is>
      </c>
      <c r="C353" s="12" t="inlineStr">
        <is>
          <t>shabbat</t>
        </is>
      </c>
      <c r="D353" s="12" t="inlineStr">
        <is>
          <t>Nusach Sefard</t>
        </is>
      </c>
      <c r="E353" s="13" t="inlineStr">
        <is>
          <t>אם קראו לספר תורה נער שנעשה בר מצוה אחר שבירך ברכה אחרונה. יאמר אביו:
בָּרוּךְ שֶׁפְּטָרַנִי מֵעָנְשׁוֹ שֶׁלָזֶה:</t>
        </is>
      </c>
      <c r="F353" s="10" t="inlineStr"/>
      <c r="G353" s="14" t="inlineStr">
        <is>
          <t>Siddur Sefard, Shabbat Morning Services, Bar Mitzva</t>
        </is>
      </c>
      <c r="H353" s="12" t="inlineStr">
        <is>
          <t>Torat Emet 357 — Public Domain</t>
        </is>
      </c>
      <c r="I353" s="12" t="inlineStr">
        <is>
          <t>sefaria-siddur-sefard-shabbat-morning-services-bar-mitzva</t>
        </is>
      </c>
    </row>
    <row r="354" ht="114" customHeight="1">
      <c r="A354" s="7">
        <f>IF(LEN(TRIM(F354))=0,"Approved","Comment to address")</f>
        <v/>
      </c>
      <c r="B354" s="8" t="inlineStr">
        <is>
          <t>Hagbahah</t>
        </is>
      </c>
      <c r="C354" s="8" t="inlineStr">
        <is>
          <t>shabbat</t>
        </is>
      </c>
      <c r="D354" s="8" t="inlineStr">
        <is>
          <t>Nusach Sefard</t>
        </is>
      </c>
      <c r="E354" s="9" t="inlineStr">
        <is>
          <t>מגביהין את הספר ואומרים:
וְזֹאת הַתּוֹרָה אֲשֶׁר שָׂם מֹשֶׁה לִפְנֵי בְּנֵי יִשְׂרָאֵל: עַל פִּי יְהֹוָה בְּיַד מֹשֶׁה: תּוֹרָה צִוָה לָנוּ מֹשֶׁה מוֹרָשָׁה קְהִלַּת יַעֲקֹב: עֵץ חַיִּים הִיא לַמַּחֲזִיקִים בָּהּ וְתוֹמְכֶיהָ מְאֻשָּׁר: דְּרָכֶיהָ דַרְכֵי נֹעַם וְכָל נְתִיבוֹתֶיהָ שָׁלוֹם: אֹרֶךְ יָמִים בִּימִינָה, בִּשְׂמֹאלָה עֹשֶׁר וְכָבוֹד: יְהֹוָה חָפֵץ לְמַעַן צִדְקוֹ, יַגְדִּיל תּוֹרָה וְיַאְדִּיר:</t>
        </is>
      </c>
      <c r="F354" s="10" t="inlineStr"/>
      <c r="G354" s="11" t="inlineStr">
        <is>
          <t>Siddur Sefard, Shabbat Morning Services, Hagbahah</t>
        </is>
      </c>
      <c r="H354" s="8" t="inlineStr">
        <is>
          <t>Torat Emet 357 — Public Domain</t>
        </is>
      </c>
      <c r="I354" s="8" t="inlineStr">
        <is>
          <t>sefaria-siddur-sefard-shabbat-morning-services-hagbahah</t>
        </is>
      </c>
    </row>
    <row r="355" ht="267" customHeight="1">
      <c r="A355" s="7">
        <f>IF(LEN(TRIM(F355))=0,"Approved","Comment to address")</f>
        <v/>
      </c>
      <c r="B355" s="12" t="inlineStr">
        <is>
          <t>Prayer for Deceased</t>
        </is>
      </c>
      <c r="C355" s="12" t="inlineStr">
        <is>
          <t>shabbat</t>
        </is>
      </c>
      <c r="D355" s="12" t="inlineStr">
        <is>
          <t>Nusach Sefard</t>
        </is>
      </c>
      <c r="E355" s="13" t="inlineStr">
        <is>
          <t>נהגו להזכיר נשמות המת אחר קריאת התורה בכל שבת שאומרים אב הרחמים:
לזכר:
אֵל מָלֵא רַחֲמִים שׁוֹכֵן בַּמְּרוֹמִים הַמְצֵא מְנוּחָה נְכוֹנָה עַל כַּנְפֵי הַשְּׁכִינָה בְּמַעֲלוֹת קְדוֹשִׁים וּטְהוֹרִים כְּזֹהַר הָרָקִיעַ מַזְהִירִים אֶת נִשְׁמַת (פב"פ) שֶׁהָלַךְ לְעוֹלָמוֹ בַּעֲבוּר (שפלוני) נָדַב לִצְדָקָה בְּעַד הַזְכָּרַת נִשְׁמָתוֹ, לָכֵן בַּעַל הָרַחֲמִים יַסְתִּירֵהוּ בְּסֵתֶר כְּנָפָיו לְעוֹלָמִים וְיִצְרֹר בִּצְרוֹר הַחַיִּים אֶת נִשְׁמָתוֹ יְהֹוָה הוּא נַחֲלָתוֹ וְיָנוּחַ בְּשָּׁלוֹם עַל מִשְׁכָּבוֹ וְנֹאמַר אָמֵן:
לנקבה:
אֵל מָלֵא רַחֲמִים שׁוֹכֵן בַּמְּרוֹמִים הַמְצֵא מְנוּחָה נְכוֹנָה עַל כַּנְפֵי הַשְּׁכִינָה בְּמַעֲלוֹת קְדוֹשִׁים וּטְהוֹרִים כְּזֹהַר הָרָקִיעַ מַזְהִירִים אֶת נִשְׁמַת (פב"פ) שֶׁהָלְכָה לְעוֹלָמָהּ בַּעֲבוּר (שפלוני) נָדַב לִצְדָקָה בְּעַד הַזְכָּרַת נִשְׁמָתָהּ, לָכֵן בַּעַל הָרַחֲמִים יַסְתִּירָהּ בְּסֵתֶר כְּנָפָיו לְעוֹלָמִים וְיִצְרֹר בִּצְרוֹר הַחַיִּים אֶת נִשְׁמָתָהּ יְהֹוָה הוּא נַחֲלָתָהּ וְתָנוּחַ בְּשָּׁלוֹם עַל מִשְׁכָּבָהּ וְנֹאמַר אָמֵן:</t>
        </is>
      </c>
      <c r="F355" s="10" t="inlineStr"/>
      <c r="G355" s="14" t="inlineStr">
        <is>
          <t>Siddur Sefard, Shabbat Morning Services, Prayer for Deceased</t>
        </is>
      </c>
      <c r="H355" s="12" t="inlineStr">
        <is>
          <t>Torat Emet 357 — Public Domain</t>
        </is>
      </c>
      <c r="I355" s="12" t="inlineStr">
        <is>
          <t>sefaria-siddur-sefard-shabbat-morning-services-prayer-for-deceased</t>
        </is>
      </c>
    </row>
    <row r="356" ht="409" customHeight="1">
      <c r="A356" s="7">
        <f>IF(LEN(TRIM(F356))=0,"Approved","Comment to address")</f>
        <v/>
      </c>
      <c r="B356" s="8" t="inlineStr">
        <is>
          <t>First Day &amp; Chol HaMoed</t>
        </is>
      </c>
      <c r="C356" s="8" t="inlineStr">
        <is>
          <t>source</t>
        </is>
      </c>
      <c r="D356" s="8" t="inlineStr">
        <is>
          <t>Nusach Sefard</t>
        </is>
      </c>
      <c r="E356" s="9" t="inlineStr">
        <is>
          <t>הושענות ליו"ט ראשון ולחוה"מ
הוֹשַׁע נָא
לְמַעַנְךָ אֱלֹהֵינוּ הוֹשַׁע נָא:
לְמַעַנְךָ בּוֹרְאֵנוּ הוֹשַׁע נָא:
לְמַעַנְךָ גּוֹאֲלֵנוּ הוֹשַׁע נָא:
לְמַעַנְךָ דּוֹרְשֵׁנוּ הוֹשַׁע נָא:
ליו"ט ראשון למעט כשחל בשבת שאז אומרים זה ביום א', א' דחוה"מ:
לְמַעַן אֲמִתָּךְ. לְמַעַן בְרִיתָךְ. לְמַעַן גָּדְלָךְ וְתִפְאַרְתָּךְ. לְמַעַן דָּתָךְ. לְמַעַן הוֹדָךְ. לְמַעַן וִעוּדָךְ. לְמַעַן זִכְרָךְ. לְמַעַן חַסְדָּךְ. לְמַעַן טוּבָךְ. לְמַעַן יִחוּדָךְ. לְמַעַן כְּבוֹדָךְ. לְמַעַן לִמּוּדָךְ. לְמַעַן מַלְכוּתָךְ. לְמַעַן נִצְחָךְ. לְמַעַן סוֹדָךְ. לְמַעַן עֻזָךְ. לְמַעַן פְּאֵרָךְ. לְמַעַן צִדְקָתָךְ. לְמַעַן קְדֻשָּׁתָךְ. לְמַעַן רַחֲמֶיךָ הָרַבִּים. לְמַעַן שְׁכִינָתָךְ. הוֹשַׁע נָא: לְמַעַן תְּהִלָּתָךְ. הוֹשַׁע נָא:
אֲנִי וָהוֹ הוֹשִׁיעָה נָּא:
כְּהוֹשַׁעְתָּ אֵלִים בְּלוּד עִמָּךְ. בְּצֵאתְךָ לְיֵשַׁע עַמָּךְ. כֵּן הוֹשַׁע נָא: כְּהוֹשַׁעְתָּ גּוֹי וֵאלֹהִים. דְרוּשִׁים לְיֵשַׁע אֱלֹהִים. כֵּן הוֹשַׁע נָא: כְּהוֹשַׁעְתָּ הֲמוֹן צִבְאוֹת. וְעִמָּם מַלְאֲכֵי צְבָאוֹת. כֵּן הוֹשַׁע נָא: כְּהוֹשַׁעְתָּ זַכִּים מִבֵּית עֲבָדִים. חַנּוּן בְּיָדָם מַעֲבִידִים. כֵּן הוֹשַׁע נָא: כְּהוֹשַׁעְתָּ טְבוּעִים בְּצוּל גְּזָרִים. יְקָרְךָ עִמָּם מַעֲבִירִים. כֵּן הוֹשַׁע נָא: כְּהוֹשַׁעְתָּ כַּנָּה מְשׁוֹרֶרֶת וַיּוֹשַׁע. לְגוֹחָהּ מְצֻיֶּנֶת וַיִּוָּשַׁע. כֵּן הוֹשַׁע נָא: כְּהוֹשַׁעְתָּ מַאֲמַר וְהוֹצֵאתִי אֶתְכֶם. נָקוּב וְהוּצֵאתִי אִתְּכֶם. כֵּן הוֹשַׁע נָא: כְּהוֹשַׁעְתָּ סוֹבְבֵי מִזְבֵּחַ. עוֹמְסֵי עֲרָבָה לְהַקִּיף מִזְבֵּחַ. כֵּן הוֹשַׁע נָא: כְּהוֹשַׁעְתָּ פִּלְאֵי אָרוֹן כְּהֻפְשַׁע. צִעֵר פְּלֶשֶׁת בַּחֲרוֹן אַף וְנוֹשַׁע. כֵּן הוֹשַׁע נָא: כְּהוֹשַׁעְתָּ קְהִלּוֹת בָּבֶלָה שָׁלַחְתָּ. רַחוּם לְמַעֲנָם שֻׁלַּחְתָּ. כֵּן הוֹשַׁע נָא: כְּהוֹשַׁעְתָּ שְׁבוּת שִׁבְטֵי יַעֲקֹב. תָּשׁוּב וְתָשִׁיב שְׁבוּת אָהֳלֵי יַעֲקֹב וְהוֹשִׁיעָה נָּא. כְּהוֹשַׁעְתָּ שׁוֹמְרֵי מִצְוֹת וְחוֹכֵי יְשׁוּעוֹת אֵל לְמוֹשָׁעוֹת. וְהוֹשִׁיעָה נָּא: אֲנִי וָהוֹ הוֹשִׁיעָה נָּא:
הוֹשִׁיעָה אֶת עַמֶּךָ וּבָרֵךְ אֶת נַחֲלָתֶךָ וּרְעֵם וְנַשְּׂאֵם עַד הָעוֹלָם: וְיִהְיוּ דְּבָרַי אֵלֶּה אֲשֶׁר הִתְחַנַּנְתִּי לִפְנֵי יְהֹוָה קְרוֹבִים אֶל יְהֹוָה אֱלֹהֵינוּ יוֹמָם וָלָיְלָה לַעֲשׂוֹת מִשְׁפַּט עַבְדּוֹ וּמִשְׁפַּט עַמּוֹ יִשְׂרָאֵל דְּבַר יוֹם בְּיוֹמוֹ: לְמַעַן דַּעַת כָּל עַמֵּי הָאָרֶץ כִּי יְהֹוָה הוּא הָאֱלֹהִים אֵין עוֹד:
ליום א' דחוה"מ למעט כשיו"ט חל בשבת אז יאמרו זה ביום ג', ג' דחוה"מ
אֶבֶן שְׁתִיָּה. בֵּית הַבְּחִירָה. גּוֹרֶן אָרְנָן. דְּבִיר הַמּוּצְנָע. הַר הַמּוֹרִיָּה. וְהַר יֵרָאֶה. זְבוּל תִּפְאַרְתֶּךָ. חָנָה דָוִד. טוֹב הַלְּבָנוֹן. יְפֵה נוֹף מְשׂוֹשׂ כָּל הָאָרֶץ. כְּלִילַת יוֹפִי. לִינַת הַצֶּדֶק. מָכוֹן לְשִׁבְתֶּךָ. נָוֶה שַׁאֲנָן. סֻכַּת שָׁלֵם. עֲלִיַּת שְׁבָטִים. פִּנַת יִקְרַת. צִיּוֹן הַמְצֻיֶּנֶת. קֹדֶשׁ הַקֳּדָשִׁים. רָצוּף אַהֲבָה. שְׁכִינַת כְּבוֹדֶךָ. תֵּל תַּלְפִּיּוֹת. הוֹשַׁע נָא:
אֲנִי וָהוֹ הוֹשִׁיעָה נָּא:
כְּהוֹשַׁעְתָּ אֵלִים בְּלוּד עִמָּךְ. בְּצֵאתְךָ לְיֵשַׁע עַמָּךְ. כֵּן הוֹשַׁע נָא: כְּהוֹשַׁעְתָּ גּוֹי וֵאלֹהִים. דְרוּשִׁים לְיֵשַׁע אֱלֹהִים. כֵּן הוֹשַׁע נָא: כְּהוֹשַׁעְתָּ הֲמוֹן צִבְאוֹת. וְעִמָּם מַלְאֲכֵי צְבָאוֹת. כֵּן הוֹשַׁע נָא: כְּהוֹשַׁעְתָּ זַכִּים מִבֵּית עֲבָדִים. חַנּוּן בְּיָדָם מַעֲבִידִים. כֵּן הוֹשַׁע נָא: כְּהוֹשַׁעְתָּ טְבוּעִים בְּצוּל גְּזָרִים. יְקָרְךָ עִמָּם מַעֲבִירִים. כֵּן הוֹשַׁע נָא: כְּהוֹשַׁעְתָּ כַּנָּה מְשׁוֹרֶרֶת וַיּוֹשַׁע. לְגוֹחָהּ מְצֻיֶּנֶת וַיִּוָּשַׁע. כֵּן הוֹשַׁע נָא: כְּהוֹשַׁעְתָּ מַאֲמַר וְהוֹצֵאתִי אֶתְכֶם. נָקוּב וְהוּצֵאתִי אִתְּכֶם. כֵּן הוֹשַׁע נָא: כְּהוֹשַׁעְתָּ סוֹבְבֵי מִזְבֵּחַ. עוֹמְסֵי עֲרָבָה לְהַקִּיף מִזְבֵּחַ. כֵּן הוֹשַׁע נָא: כְּהוֹשַׁעְתָּ פִּלְאֵי אָרוֹן כְּהֻפְשַׁע. צִעֵר פְּלֶשֶׁת בַּחֲרוֹן אַף וְנוֹשַׁע. כֵּן הוֹשַׁע נָא: כְּהוֹשַׁעְתָּ קְהִלּוֹת בָּבֶלָה שָׁלַחְתָּ. רַחוּם לְמַעֲנָם שֻׁלַּחְתָּ. כֵּן הוֹשַׁע נָא: כְּהוֹשַׁעְתָּ שְׁבוּת שִׁבְטֵי יַעֲקֹב. תָּשׁוּב וְתָשִׁיב שְׁבוּת אָהֳלֵי יַעֲקֹב וְהוֹשִׁיעָה נָּא. כְּהוֹשַׁעְתָּ שׁוֹמְרֵי מִצְוֹת וְחוֹכֵי יְשׁוּעוֹת אֵל לְמוֹשָׁעוֹת. וְהוֹשִׁיעָה נָּא: אֲנִי וָהוֹ הוֹשִׁיעָה נָּא:
הוֹשִׁיעָה אֶת עַמֶּךָ וּבָרֵךְ אֶת נַחֲלָתֶךָ וּרְעֵם וְנַשְּׂאֵם עַד הָעוֹלָם: וְיִהְיוּ דְּבָרַי אֵלֶּה אֲשֶׁר הִתְחַנַּנְתִּי לִפְנֵי יְהֹוָה קְרוֹבִים אֶל יְהֹוָה אֱלֹהֵינוּ יוֹמָם וָלָיְלָה לַעֲשׂוֹת מִשְׁפַּט עַבְדּוֹ וּמִשְׁפַּט עַמּוֹ יִשְׂרָאֵל דְּבַר יוֹם בְּיוֹמוֹ: לְמַעַן דַּעַת כָּל עַמֵּי הָאָרֶץ כִּי יְהֹוָה הוּא הָאֱלֹהִים אֵין עוֹד:
ליום ה', ג' דחוה"מ רק כשיו"ט חל ביום שני
אוֹם אֲנִי חוֹמָה. בָּרָה כַּחַמָּה. גּוֹלָה וְסוּרָה. דָּמְתָה לְתָמָר. הַהֲרוּגָה עָלֶיךָ. וְנֶחֱשֶׁבֶת כְּצֹאן טִבְחָה. זְרוּיָה בֵּין מַכְעִיסֶיהָ. חֲבוּקָה וּדְבוּקָה בָּךְ. טוֹעֶנֶת עֻלָּךְ. יְחִידָה לְיַחֲדָךְ. כְּבוּשָׁה בַגּוֹלָה. לוֹמֶדֶת יִרְאָתָךְ. מְרוּטַת לֶחִי. נְתוּנָה לְמַכִּים. סוֹבֶלֶת סִבְלָךְ. עֲנִיָּה סֹעֲרָה. פְּדוּיַת טוֹבִיָּה. צֹאן קָדָשִׁים. קְהִלּוֹת יַעֲקֹב. רְשׁוּמִים בִּשְׁמֶךָ. שׁוֹאֲגִים הוֹשַׁע נָא: תְּמוּכִים עָלֶיךָ. הוֹשַׁע נָא:
אֲנִי וָהוֹ הוֹשִׁיעָה נָּא:
כְּהוֹשַׁעְתָּ אֵלִים בְּלוּד עִמָּךְ. בְּצֵאתְךָ לְיֵשַׁע עַמָּךְ. כֵּן הוֹשַׁע נָא: כְּהוֹשַׁעְתָּ גּוֹי וֵאלֹהִים. דְרוּשִׁים לְיֵשַׁע אֱלֹהִים. כֵּן הוֹשַׁע נָא: כְּהוֹשַׁעְתָּ הֲמוֹן צִבְאוֹת. וְעִמָּם מַלְאֲכֵי צְבָאוֹת. כֵּן הוֹשַׁע נָא: כְּהוֹשַׁעְתָּ זַכִּים מִבֵּית עֲבָדִים. חַנּוּן בְּיָדָם מַעֲבִידִים. כֵּן הוֹשַׁע נָא: כְּהוֹשַׁעְתָּ טְבוּעִים בְּצוּל גְּזָרִים. יְקָרְךָ עִמָּם מַעֲבִירִים. כֵּן הוֹשַׁע נָא: כְּהוֹשַׁעְתָּ כַּנָּה מְשׁוֹרֶרֶת וַיּוֹשַׁע. לְגוֹחָהּ מְצֻיֶּנֶת וַיִּוָּשַׁע. כֵּן הוֹשַׁע נָא: כְּהוֹשַׁעְתָּ מַאֲמַר וְהוֹצֵאתִי אֶתְכֶם. נָקוּב וְהוּצֵאתִי אִתְּכֶם. כֵּן הוֹשַׁע נָא: כְּהוֹשַׁעְתָּ סוֹבְבֵי מִזְבֵּחַ. עוֹמְסֵי עֲרָבָה לְהַקִּיף מִזְבֵּחַ. כֵּן הוֹשַׁע נָא: כְּהוֹשַׁעְתָּ פִּלְאֵי אָרוֹן כְּהֻפְשַׁע. צִעֵר פְּלֶשֶׁת בַּחֲרוֹן אַף וְנוֹשַׁע. כֵּן הוֹשַׁע נָא: כְּהוֹשַׁעְתָּ קְהִלּוֹת בָּבֶלָה שָׁלַחְתָּ. רַחוּם לְמַעֲנָם שֻׁלַּחְתָּ. כֵּן הוֹשַׁע נָא: כְּהוֹשַׁעְתָּ שְׁבוּת שִׁבְטֵי יַעֲקֹב. תָּשׁוּב וְתָשִׁיב שְׁבוּת אָהֳלֵי יַעֲקֹב וְהוֹשִׁיעָה נָּא. כְּהוֹשַׁעְתָּ שׁוֹמְרֵי מִצְוֹת וְחוֹכֵי יְשׁוּעוֹת אֵל לְמוֹשָׁעוֹת. וְהוֹשִׁיעָה נָּא: אֲנִי וָהוֹ הוֹשִׁיעָה נָּא:
הוֹשִׁיעָה אֶת עַמֶּךָ וּבָרֵךְ אֶת נַחֲלָתֶךָ וּרְעֵם וְנַשְּׂאֵם עַד הָעוֹלָם: וְיִהְיוּ דְּבָרַי אֵלֶּה אֲשֶׁר הִתְחַנַּנְתִּי לִפְנֵי יְהֹוָה קְרוֹבִים אֶל יְהֹוָה אֱלֹהֵינוּ יוֹמָם וָלָיְלָה לַעֲשׂוֹת מִשְׁפַּט עַבְדּוֹ וּמִשְׁפַּט עַמּוֹ יִשְׂרָאֵל דְּבַר יוֹם בְּיוֹמוֹ: לְמַעַן דַּעַת כָּל עַמֵּי הָאָרֶץ כִּי יְהֹוָה הוּא הָאֱלֹהִים אֵין עוֹד:
כשחל יו"ט ביום ג' יאמרו זה ביום א', ה' דחוה"מ. כשחל יו"ט ביום ה' יאמרו זה ביום ג', ה' דחוה"מ. כשחל יו"ט בש"ק יאמרו זה ביום ה', ה' דחוה"מ.
אָדוֹן הַמּוֹשִׁיעַ. בִּלְתְּךָ אֵין לְהוֹשִׁיעַ. גִּבּוֹר וְרַב לְהוֹשִׁיעַ. דַּלּוֹתִי וְלִי יְהוֹשִׁיעַ. הָאֵל הַמּוֹשִׁיעַ. וּמַצִּיל וּמוֹשִׁיעַ. זוֹעֲקֶיךָ תּוֹשִׁיעַ. חוֹכֶיךָ הוֹשִׁיעַ. טְלָאֶיךָ תַּשְׂבִּיעַ. יְבוּל לְהַשְׁפִּיעַ. כָּל שִׂיחַ תַּדְשֵׁא וְתוֹשִׁיעַ. לְגֵיא בַּל תַּרְשִׁיעַ. מְגָדִים תַּמְתִּיק וְתוֹשִׁיעַ. נְשִׂיאִים לְהַסִּיעַ. שְׂעִירִים לְהָנִיעַ. עֲנָנִים מִלְּהַמְנִיעַ. פּוֹתֵחַ יָד וּמַשְׂבִּיעַ. צְמֵאֶיךָ תַּשְׂבִּיעַ. קוֹרְאֶיךָ תּוֹשִׁיעַ. רְחוּמֶיךָ תּוֹשִׁיעַ. שׁוֹחֲרֶיךָ הוֹשִׁיעַ. הוֹשַׁע נָא: תְּמִימֶיךָ תּוֹשִׁיעַ. הוֹשַׁע נָא:
אֲנִי וָהוֹ הוֹשִׁיעָה נָּא:
כְּהוֹשַׁעְתָּ אֵלִים בְּלוּד עִמָּךְ. בְּצֵאתְךָ לְיֵשַׁע עַמָּךְ. כֵּן הוֹשַׁע נָא: כְּהוֹשַׁעְתָּ גּוֹי וֵאלֹהִים. דְרוּשִׁים לְיֵשַׁע אֱלֹהִים. כֵּן הוֹשַׁע נָא: כְּהוֹשַׁעְתָּ הֲמוֹן צִבְאוֹת. וְעִמָּם מַלְאֲכֵי צְבָאוֹת. כֵּן הוֹשַׁע נָא: כְּהוֹשַׁעְתָּ זַכִּים מִבֵּית עֲבָדִים. חַנּוּן בְּיָדָם מַעֲבִידִים. כֵּן הוֹשַׁע נָא: כְּהוֹשַׁעְתָּ טְבוּעִים בְּצוּל גְּזָרִים. יְקָרְךָ עִמָּם מַעֲבִירִים. כֵּן הוֹשַׁע נָא: כְּהוֹשַׁעְתָּ כַּנָּה מְשׁוֹרֶרֶת וַיּוֹשַׁע. לְגוֹחָהּ מְצֻיֶּנֶת וַיִּוָּשַׁע. כֵּן הוֹשַׁע נָא: כְּהוֹשַׁעְתָּ מַאֲמַר וְהוֹצֵאתִי אֶתְכֶם. נָקוּב וְהוּצֵאתִי אִתְּכֶם. כֵּן הוֹשַׁע נָא: כְּהוֹשַׁעְתָּ סוֹבְבֵי מִזְבֵּחַ. עוֹמְסֵי עֲרָבָה לְהַקִּיף מִזְבֵּחַ. כֵּן הוֹשַׁע נָא: כְּהוֹשַׁעְתָּ פִּלְאֵי אָרוֹן כְּהֻפְשַׁע. צִעֵר פְּלֶשֶׁת בַּחֲרוֹן אַף וְנוֹשַׁע. כֵּן הוֹשַׁע נָא: כְּהוֹשַׁעְתָּ קְהִלּוֹת בָּבֶלָה שָׁלַחְתָּ. רַחוּם לְמַעֲנָם שֻׁלַּחְתָּ. כֵּן הוֹשַׁע נָא: כְּהוֹשַׁעְתָּ שְׁבוּת שִׁבְטֵי יַעֲקֹב. תָּשׁוּב וְתָשִׁיב שְׁבוּת אָהֳלֵי יַעֲקֹב וְהוֹשִׁיעָה נָּא. כְּהוֹשַׁעְתָּ שׁוֹמְרֵי מִצְוֹת וְחוֹכֵי יְשׁוּעוֹת אֵל לְמוֹשָׁעוֹת. וְהוֹשִׁיעָה נָּא: אֲנִי וָהוֹ הוֹשִׁיעָה נָּא:
הוֹשִׁיעָה אֶת עַמֶּךָ וּבָרֵךְ אֶת נַחֲלָתֶךָ וּרְעֵם וְנַשְּׂאֵם עַד הָעוֹלָם: וְיִהְיוּ דְּבָרַי אֵלֶּה אֲשֶׁר הִתְחַנַּנְתִּי לִפְנֵי יְהֹוָה קְרוֹבִים אֶל יְהֹוָה אֱלֹהֵינוּ יוֹמָם וָלָיְלָה לַעֲשׂוֹת מִשְׁפַּט עַבְדּוֹ וּמִשְׁפַּט עַמּוֹ יִשְׂרָאֵל דְּבַר יוֹם בְּיוֹמוֹ: לְמַעַן דַּעַת כָּל עַמֵּי הָאָרֶץ כִּי יְהֹוָה הוּא הָאֱלֹהִים אֵין עוֹד:
כשחל יו"ט ביום ב' יאמרו זה ביום ד', ב' דחוה"מ. כשחל יו"ט ביום ג' יאמרו זה ביום ה', ב' דחוה"מ. כשחל יו"ט ביום ה' יאמרו זה ביום א', ג' דחוה"מ. כשחל יו"ו בש"ק יאמרו זה ביום ב', ב' דחוה"מ
אֶעֱרוֹךְ שׁוּעִי. בְּבֵית שַׁוְעִי. גִּלִּיתִי בַצּוֹם פִּשְׁעִי. דְּרַשְׁתִּיךָ בּוֹ לְהוֹשִׁיעִי. הַקְשִׁיבָה לְקוֹל שַׁוְעִי. וְקוּמָה וְהוֹשִׁיעִי. זְכוֹר וְרַחֵם מוֹשִׁיעִי. חַי כֵּן תְּשַׁעְשְׁעִי. טוֹב בְּאֶנֶק שְׁעִי. יוּחַשׁ מוֹשִׁיעִי. כַּלֵּה מַרְשִׁיעִי. לְבַל עוֹד תַּרְשִׁיעִי. מַהֵר אֱלֹהֵי יִשְׁעִי. נֶצַח לְהוֹשִׁיעִי. שָׂא נָא עֲוֹן רִשְׁעִי. עֲבוֹר עַל פִּשְׁעִי. פְּנֵה נָא לְהוֹשִׁיעִי. צוּר צַדִּיק מוֹשִׁיעִי. קַבֵּל נָא שַׁוְעִי. רוֹמֵם קֶרֶן יִשְׁעִי. שַׁדַּי מוֹשִׁיעִי. הוֹשַׁע נָא: תּוֹפִיעַ וְתוֹשִׁיעִי. הוֹשַׁע נָא:
אֲנִי וָהוֹ הוֹשִׁיעָה נָּא:
כְּהוֹשַׁעְתָּ אֵלִים בְּלוּד עִמָּךְ. בְּצֵאתְךָ לְיֵשַׁע עַמָּךְ. כֵּן הוֹשַׁע נָא: כְּהוֹשַׁעְתָּ גּוֹי וֵאלֹהִים. דְרוּשִׁים לְיֵשַׁע אֱלֹהִים. כֵּן הוֹשַׁע נָא: כְּהוֹשַׁעְתָּ הֲמוֹן צִבְאוֹת. וְעִמָּם מַלְאֲכֵי צְבָאוֹת. כֵּן הוֹשַׁע נָא: כְּהוֹשַׁעְתָּ זַכִּים מִבֵּית עֲבָדִים. חַנּוּן בְּיָדָם מַעֲבִידִים. כֵּן הוֹשַׁע נָא: כְּהוֹשַׁעְתָּ טְבוּעִים בְּצוּל גְּזָרִים. יְקָרְךָ עִמָּם מַעֲבִירִים. כֵּן הוֹשַׁע נָא: כְּהוֹשַׁעְתָּ כַּנָּה מְשׁוֹרֶרֶת וַיּוֹשַׁע. לְגוֹחָהּ מְצֻיֶּנֶת וַיִּוָּשַׁע. כֵּן הוֹשַׁע נָא: כְּהוֹשַׁעְתָּ מַאֲמַר וְהוֹצֵאתִי אֶתְכֶם. נָקוּב וְהוּצֵאתִי אִתְּכֶם. כֵּן הוֹשַׁע נָא: כְּהוֹשַׁעְתָּ סוֹבְבֵי מִזְבֵּחַ. עוֹמְסֵי עֲרָבָה לְהַקִּיף מִזְבֵּחַ. כֵּן הוֹשַׁע נָא: כְּהוֹשַׁעְתָּ פִּלְאֵי אָרוֹן כְּהֻפְשַׁע. צִעֵר פְּלֶשֶׁת בַּחֲרוֹן אַף וְנוֹשַׁע. כֵּן הוֹשַׁע נָא: כְּהוֹשַׁעְתָּ קְהִלּוֹת בָּבֶלָה שָׁלַחְתָּ. רַחוּם לְמַעֲנָם שֻׁלַּחְתָּ. כֵּן הוֹשַׁע נָא: כְּהוֹשַׁעְתָּ שְׁבוּת שִׁבְטֵי יַעֲקֹב. תָּשׁוּב וְתָשִׁיב שְׁבוּת אָהֳלֵי יַעֲקֹב וְהוֹשִׁיעָה נָּא. כְּהוֹשַׁעְתָּ שׁוֹמְרֵי מִצְוֹת וְחוֹכֵי יְשׁוּעוֹת אֵל לְמוֹשָׁעוֹת. וְהוֹשִׁיעָה נָּא: אֲנִי וָהוֹ הוֹשִׁיעָה נָּא:
הוֹשִׁיעָה אֶת עַמֶּךָ וּבָרֵךְ אֶת נַחֲלָתֶךָ וּרְעֵם וְנַשְּׂאֵם עַד הָעוֹלָם: וְיִהְיוּ דְּבָרַי אֵלֶּה אֲשֶׁר הִתְחַנַּנְתִּי לִפְנֵי יְהֹוָה קְרוֹבִים אֶל יְהֹוָה אֱלֹהֵינוּ יוֹמָם וָלָיְלָה לַעֲשׂוֹת מִשְׁפַּט עַבְדּוֹ וּמִשְׁפַּט עַמּוֹ יִשְׂרָאֵל דְּבַר יוֹם בְּיוֹמוֹ: לְמַעַן דַּעַת כָּל עַמֵּי הָאָרֶץ כִּי יְהֹוָה הוּא הָאֱלֹהִים אֵין עוֹד:
כשחל יו"ט ביום ב' יאמרו זה ביום ו', ד' דחוה"מ. כשחל יו"ט ביום ג' יאמרו זה ביום ו', ג' דחוה"מ. כשחל יו"ט ביום ה' יאמרו זה ביום ב', ד' דחוה"מ, כשחל יו"ט בש"ק יאמרו זה ביום ד', ד' דחוה"מ.
אֵל לְמוֹשָׁעוֹת. בְּאַרְבַּע שָׁבוּעוֹת. גָּשִׁים בְּשַׁוְעוֹת. דּוֹפְקֵי עֶרֶךְ שׁוּעוֹת. (נ"א שְׁעוֹת) הוֹגֵי שַׁעְשְׁעוֹת. וְחִידוֹתָם מִשְׁתַּעְשְׁעוֹת. זוֹעֲקִים לְהַשְׁעוֹת. חוֹכֵי יְשׁוּעוֹת. טְפוּלִים בְּךָ שְׁעוֹת. יוֹדְעֵי בִין שָׁעוֹת. כּוֹרְעֶיךָ בְּשַׁוְעוֹת. לְהָבִין שְׁמוּעוֹת. מִפִּיךָ נִשְׁמָעוֹת. נוֹתֵן תְּשׁוּעוֹת. סְפוּרוֹת מַשְׁמָעוֹת. (נ"א מְשַׁמְעוֹת) עֵדוּת מַשְׁמִיעוֹת. פּוֹעֵל יְשׁוּעוֹת. צַדִּיק נוֹשָׁעוֹת. קִרְיַת (נ"א קָרֵב) תְּשׁוּעוֹת. רֶגֶשׁ תְּשׁוּאוֹת. שָׁלשׁ שָׁעוֹת. הוֹשַׁע נָא: תָּחִישׁ לִתְשׁוּעוֹת. הוֹשַׁע נָא:
אֲנִי וָהוֹ הוֹשִׁיעָה נָּא:
כְּהוֹשַׁעְתָּ אֵלִים בְּלוּד עִמָּךְ. בְּצֵאתְךָ לְיֵשַׁע עַמָּךְ. כֵּן הוֹשַׁע נָא: כְּהוֹשַׁעְתָּ גּוֹי וֵאלֹהִים. דְרוּשִׁים לְיֵשַׁע אֱלֹהִים. כֵּן הוֹשַׁע נָא: כְּהוֹשַׁעְתָּ הֲמוֹן צִבְאוֹת. וְעִמָּם מַלְאֲכֵי צְבָאוֹת. כֵּן הוֹשַׁע נָא: כְּהוֹשַׁעְתָּ זַכִּים מִבֵּית עֲבָדִים. חַנּוּן בְּיָדָם מַעֲבִידִים. כֵּן הוֹשַׁע נָא: כְּהוֹשַׁעְתָּ טְבוּעִים בְּצוּל גְּזָרִים. יְקָרְךָ עִמָּם מַעֲבִירִים. כֵּן הוֹשַׁע נָא: כְּהוֹשַׁעְתָּ כַּנָּה מְשׁוֹרֶרֶת וַיּוֹשַׁע. לְגוֹחָהּ מְצֻיֶּנֶת וַיִּוָּשַׁע. כֵּן הוֹשַׁע נָא: כְּהוֹשַׁעְתָּ מַאֲמַר וְהוֹצֵאתִי אֶתְכֶם. נָקוּב וְהוּצֵאתִי אִתְּכֶם. כֵּן הוֹשַׁע נָא: כְּהוֹשַׁעְתָּ סוֹבְבֵי מִזְבֵּחַ. עוֹמְסֵי עֲרָבָה לְהַקִּיף מִזְבֵּחַ. כֵּן הוֹשַׁע נָא: כְּהוֹשַׁעְתָּ פִּלְאֵי אָרוֹן כְּהֻפְשַׁע. צִעֵר פְּלֶשֶׁת בַּחֲרוֹן אַף וְנוֹשַׁע. כֵּן הוֹשַׁע נָא: כְּהוֹשַׁעְתָּ קְהִלּוֹת בָּבֶלָה שָׁלַחְתָּ. רַחוּם לְמַעֲנָם שֻׁלַּחְתָּ. כֵּן הוֹשַׁע נָא: כְּהוֹשַׁעְתָּ שְׁבוּת שִׁבְטֵי יַעֲקֹב. תָּשׁוּב וְתָשִׁיב שְׁבוּת אָהֳלֵי יַעֲקֹב וְהוֹשִׁיעָה נָּא. כְּהוֹשַׁעְתָּ שׁוֹמְרֵי מִצְוֹת וְחוֹכֵי יְשׁוּעוֹת אֵל לְמוֹשָׁעוֹת. וְהוֹשִׁיעָה נָּא: אֲנִי וָהוֹ הוֹשִׁיעָה נָּא:
הוֹשִׁיעָה אֶת עַמֶּךָ וּבָרֵךְ אֶת נַחֲלָתֶךָ וּרְעֵם וְנַשְּׂאֵם עַד הָעוֹלָם: וְיִהְיוּ דְּבָרַי אֵלֶּה אֲשֶׁר הִתְחַנַּנְתִּי לִפְנֵי יְהֹוָה קְרוֹבִים אֶל יְהֹוָה אֱלֹהֵינוּ יוֹמָם וָלָיְלָה לַעֲשׂוֹת מִשְׁפַּט עַבְדּוֹ וּמִשְׁפַּט עַמּוֹ יִשְׂרָאֵל דְּבַר יוֹם בְּיוֹמוֹ: לְמַעַן דַּעַת כָּל עַמֵּי הָאָרֶץ כִּי יְהֹוָה הוּא הָאֱלֹהִים אֵין עוֹד:
קדיש שלם, שיר של יום, לדוד, קריאת התורה, אשרי ובא לציון, מוסף, קוה ועלינו:</t>
        </is>
      </c>
      <c r="F356" s="10" t="inlineStr"/>
      <c r="G356" s="11" t="inlineStr">
        <is>
          <t>Siddur Sefard, Sukkot, First Day &amp; Chol HaMoed</t>
        </is>
      </c>
      <c r="H356" s="8" t="inlineStr">
        <is>
          <t>Torat Emet 357 — Public Domain</t>
        </is>
      </c>
      <c r="I356" s="8" t="inlineStr">
        <is>
          <t>sefaria-siddur-sefard-sukkot-first-day-chol-hamoed</t>
        </is>
      </c>
    </row>
    <row r="357" ht="165" customHeight="1">
      <c r="A357" s="7">
        <f>IF(LEN(TRIM(F357))=0,"Approved","Comment to address")</f>
        <v/>
      </c>
      <c r="B357" s="12" t="inlineStr">
        <is>
          <t>Candle Lighting for Yom Tov</t>
        </is>
      </c>
      <c r="C357" s="12" t="inlineStr">
        <is>
          <t>shabbat</t>
        </is>
      </c>
      <c r="D357" s="12" t="inlineStr">
        <is>
          <t>Nusach Sefard</t>
        </is>
      </c>
      <c r="E357" s="13" t="inlineStr">
        <is>
          <t>בָּרוּךְ אַתָּה יְהֹוָה
אֱלֹהֵֽינוּ מֶֽלֶךְ הָעוֹלָם
אֲשֶׁר קִדְּ֒שָֽׁנוּ בְּמִצְוֹתָיו
וְצִוָּֽנוּ
לְהַדְלִיק נֵר שֶׁל יוֹם טוֹב:
בָּרוּךְ אַתָּה יְהֹוָה
אֱלֹהֵֽינוּ מֶֽלֶךְ הָעוֹלָם
שֶׁהֶחֱיָֽנוּ וְקִיְּמָֽנוּ
וְהִגִּיעָֽנוּ לַזְמַן הַזֶּה:</t>
        </is>
      </c>
      <c r="F357" s="10" t="inlineStr"/>
      <c r="G357" s="14" t="inlineStr">
        <is>
          <t>Shabbat Siddur Sefard Linear, Candle Lighting, Candle Lighting for Yom Tov</t>
        </is>
      </c>
      <c r="H357" s="12" t="inlineStr">
        <is>
          <t>The Metsudah Siddur, Metsudah Publications, 1981 - HE — CC-BY</t>
        </is>
      </c>
      <c r="I357" s="12" t="inlineStr">
        <is>
          <t>sefaria-shabbat-siddur-sefard-linear-candle-lighting-candle-lighting-for-yom-tov</t>
        </is>
      </c>
    </row>
    <row r="358" ht="182" customHeight="1">
      <c r="A358" s="7">
        <f>IF(LEN(TRIM(F358))=0,"Approved","Comment to address")</f>
        <v/>
      </c>
      <c r="B358" s="8" t="inlineStr">
        <is>
          <t>Candle Lighting when Shabbos occurs on Yom Tov</t>
        </is>
      </c>
      <c r="C358" s="8" t="inlineStr">
        <is>
          <t>shabbat</t>
        </is>
      </c>
      <c r="D358" s="8" t="inlineStr">
        <is>
          <t>Nusach Sefard</t>
        </is>
      </c>
      <c r="E358" s="9" t="inlineStr">
        <is>
          <t>בָּרוּךְ אַתָּה יְהֹוָה
אֱלֹהֵֽינוּ מֶֽלֶךְ הָעוֹלָם
אֲשֶׁר קִדְּ֒שָֽׁנוּ בְּמִצְוֹתָיו
וְצִוָּֽנוּ
לְהַדְלִיק נֵר שֶׁל שַׁבָּת
וְשֶׁל יוֹם טוֹב:
בָּרוּךְ אַתָּה יְהֹוָה
אֱלֹהֵֽינוּ מֶֽלֶךְ הָעוֹלָם
שֶׁהֶחֱיָֽנוּ וְקִיְּמָֽנוּ
וְהִגִּיעָֽנוּ לַזְמַן הַזֶּה:</t>
        </is>
      </c>
      <c r="F358" s="10" t="inlineStr"/>
      <c r="G358" s="11" t="inlineStr">
        <is>
          <t>Shabbat Siddur Sefard Linear, Candle Lighting, Candle Lighting when Shabbos occurs on Yom Tov</t>
        </is>
      </c>
      <c r="H358" s="8" t="inlineStr">
        <is>
          <t>The Metsudah Siddur, Metsudah Publications, 1981 - HE — CC-BY</t>
        </is>
      </c>
      <c r="I358" s="8" t="inlineStr">
        <is>
          <t>sefaria-shabbat-siddur-sefard-linear-candle-lighting-candle-lighting-when-shabbos-occurs-on-yom-tov</t>
        </is>
      </c>
    </row>
    <row r="359" ht="409" customHeight="1">
      <c r="A359" s="7">
        <f>IF(LEN(TRIM(F359))=0,"Approved","Comment to address")</f>
        <v/>
      </c>
      <c r="B359" s="12" t="inlineStr">
        <is>
          <t>Song of Songs</t>
        </is>
      </c>
      <c r="C359" s="12" t="inlineStr">
        <is>
          <t>shabbat</t>
        </is>
      </c>
      <c r="D359" s="12" t="inlineStr">
        <is>
          <t>Nusach Sefard</t>
        </is>
      </c>
      <c r="E359" s="13" t="inlineStr">
        <is>
          <t>שִׁ֥יר הַשִּׁירִ֖ים אֲשֶׁ֥ר לִשְׁלֹמֹֽה:
יִשָּׁקֵ֨נִי֙ מִנְּשִׁיק֣וֹת פִּ֔יהוּ כִּֽי־טוֹבִ֥ים דֹּדֶ֖יךָ מִיָּֽיִן:
לְרֵ֨יחַ֙ שְׁמָנֶ֣יךָ טוֹבִ֔ים שֶׁ֖מֶן תּוּרַ֣ק שְׁמֶ֑ךָ עַל־כֵּ֖ן עֲלָמ֥וֹת אֲהֵבֽוּךָ:
מָשְׁכֵ֖נִי אַֽחֲרֶ֣יךָ נָר֑וּצָה הֱבִיאַ֨נִי הַמֶּ֜לֶךְ חֲדָרָ֗יו נָגִ֤ילָה וְנִשְׂמְחָה֙ בָּ֔ךְ נַזְכִּ֤ירָה דֹדֶ֙יךָ֙ מִיַּ֔יִן מֵֽישָׁרִ֖ים אֲהֵבֽוּךָ:
שְׁחוֹרָ֤ה אֲנִי֙ וְֽנָאוָ֔ה בְּנ֖וֹת יְרֽוּשָׁלִָ֑ם כְּאָֽהֳלֵ֣י קֵדָ֔ר כִּֽירִיע֖וֹת שְׁלֹמֹֽה:
אַל־תִּרְאֻ֨נִי֙ שֶֽׁאֲנִ֣י שְׁחַרְחֹ֔רֶת שֶׁשְּׁזָפַ֖תְנִי הַשָּׁ֑מֶשׁ בְּנֵ֧י אִמִּ֣י נִֽחֲרוּ־בִ֗י שָׂמֻ֨נִי֙ נֹֽטֵרָ֣ה אֶת־הַכְּרָמִ֔ים כַּרְמִ֥י שֶׁלִּ֖י לֹ֥א נָטָֽרְתִּי:
הַגִּ֣ידָה לִּ֗י שֶׁ֤אָֽהֲבָה֙ נַפְשִׁ֔י אֵיכָ֣ה תִרְעֶ֔ה אֵיכָ֖ה תַּרְבִּ֣יץ בַּֽצָּֽהֳרָ֑יִם שַׁלָּמָ֤ה אֶֽהְיֶה֙ כְּעֹ֣טְיָ֔ה עַ֖ל עֶדְרֵ֥י חֲבֵרֶֽיךָ:
אִם־לֹ֤א תֵֽדְעִי֙ לָ֔ךְ הַיָּפָ֖ה בַּנָּשִׁ֑ים צְֽאִי־לָ֞ךְ בְּעִקְבֵ֣י הַצֹּ֗אן וּרְעִי֙ אֶת־גְּדִיֹּתַ֔יִךְ עַ֖ל מִשְׁכְּנ֥וֹת הָֽרֹעִֽים:
לְסֻֽסָתִי֙ בְּרִכְבֵ֣י פַרְעֹ֔ה דִּמִּיתִ֖יךְ רַעְיָתִֽי:
נָאו֤וּ לְחָיַ֨יִךְ֙ בַּתֹּרִ֔ים צַוָּארֵ֖ךְ בַּֽחֲרוּזִֽים:
תּוֹרֵ֤י זָהָב֙ נַֽעֲשֶׂה־לָּ֔ךְ עִ֖ם נְקֻדּ֥וֹת הַכָּֽסֶף:
עַד־שֶׁ֤הַמֶּ֨לֶךְ֙ בִּמְסִבּ֔וֹ נִרְדִּ֖י נָתַ֥ן רֵיחֽוֹ:
צְר֨וֹר הַמֹּ֤ר | דּוֹדִי֙ לִ֔י בֵּ֥ין שָׁדַ֖י יָלִֽין:
אֶשְׁכֹּ֨ל הַכֹּ֤פֶר | דּוֹדִי֙ לִ֔י בְּכַרְמֵ֖י עֵ֥ין גֶּֽדִי:
הִנָּ֤ךְ יָפָה֙ רַעְיָתִ֔י הִנָּ֥ךְ יָפָ֖ה עֵינַ֥יִךְ יוֹנִֽים:
הִנְּךָ֨ יָפֶ֤ה דוֹדִי֙ אַ֣ף נָעִ֔ים אַף־עַרְשֵׂ֖נוּ רַֽעֲנָנָֽה:
קֹר֤וֹת בָּתֵּ֨ינוּ֙ אֲרָזִ֔ים רָֽהִ֯יטֵ֖נוּ בְּרוֹתִֽים:</t>
        </is>
      </c>
      <c r="F359" s="10" t="inlineStr"/>
      <c r="G359" s="14" t="inlineStr">
        <is>
          <t>Shabbat Siddur Sefard Linear, Song of Songs.1</t>
        </is>
      </c>
      <c r="H359" s="12" t="inlineStr">
        <is>
          <t>The Metsudah Siddur, Metsudah Publications, 1981 - HE — CC-BY</t>
        </is>
      </c>
      <c r="I359" s="12" t="inlineStr">
        <is>
          <t>sefaria-shabbat-siddur-sefard-linear-song-of-songs-1</t>
        </is>
      </c>
    </row>
    <row r="360" ht="409" customHeight="1">
      <c r="A360" s="7">
        <f>IF(LEN(TRIM(F360))=0,"Approved","Comment to address")</f>
        <v/>
      </c>
      <c r="B360" s="8" t="inlineStr">
        <is>
          <t>Song of Songs</t>
        </is>
      </c>
      <c r="C360" s="8" t="inlineStr">
        <is>
          <t>shabbat</t>
        </is>
      </c>
      <c r="D360" s="8" t="inlineStr">
        <is>
          <t>Nusach Sefard</t>
        </is>
      </c>
      <c r="E360" s="9" t="inlineStr">
        <is>
          <t>אֲנִי֙ חֲבַצֶּ֣לֶת הַשָּׁר֔וֹן שֽׁוֹשַׁנַּ֖ת הָֽעֲמָקִֽים:
כְּשֽׁוֹשַׁנָּה֙ בֵּ֣ין הַֽחוֹחִ֔ים כֵּ֥ן רַעְיָתִ֖י בֵּ֥ין הַבָּנֽוֹת:
כְּתַפּ֨וּחַ֙ בַּֽעֲצֵ֣י הַיַּ֔עַר כֵּ֥ן דּוֹדִ֖י בֵּ֣ין הַבָּנִ֑ים בְּצִלֹּו֙ חִמַּ֣דְתִּי וְיָשַׁ֔בְתִּי וּפִרְי֖וֹ מָת֥וֹק לְחִכִּֽי:
הֱבִיאַ֨נִי֙ אֶל־בֵּ֣ית הַיָּ֔יִן וְדִגְל֥וֹ עָלַ֖י אַֽהֲבָֽה:
סַמְּכ֨וּנִי֙ בָּֽאֲשִׁישׁ֔וֹת רַפְּד֖וּנִי בַּתַּפּוּחִ֑ים כִּֽי־חוֹלַ֥ת אַֽהֲבָ֖ה אָֽנִי:
שְׂמֹאלֹו֙ תַּ֣חַת לְרֹאשִׁ֔י וִֽימִינ֖וֹ תְּחַבְּקֵֽנִי:
הִשְׁבַּ֨עְתִּי אֶתְכֶ֜ם בְּנ֤וֹת יְרֽוּשָׁלַ֨םִ֙ בִּצְבָא֔וֹת א֖וֹ בְּאַיְל֣וֹת הַשָדֶ֑ה אִם־תָּעִ֧ירוּ | וְֽאִם־תְּעֽוֹרְר֛וּ אֶת־הָאַֽהֲבָ֖ה עַ֥ד שֶׁתֶּחְפָּֽץ:
ק֣וֹל דּוֹדִ֔י הִנֵּה־זֶ֖ה בָּ֑א מְדַלֵּג֙ עַל־הֶ֣הָרִ֔ים מְקַפֵּ֖ץ עַל־הַגְּבָעֽוֹת:
דּוֹמֶ֤ה דוֹדִי֙ לִצְבִ֔י א֖וֹ לְעֹ֣פֶר הָֽאַיָּלִ֑ים הִנֵּה־זֶ֤ה עוֹמֵד֙ אַחַ֣ר כָּתְלֵ֔נוּ מַשְׁגִּ֨יחַ֙ מִן־הַֽחַלֹּנ֔וֹת מֵצִ֖יץ מִן־הַֽחֲרַכִּֽים:
עָנָ֥ה דוֹדִ֖י וְאָ֣מַר לִ֑י ק֥וּמִי לָ֛ךְ רַעְיָתִ֥י יָֽפָתִ֖י וּלְכִי־לָֽךְ:
כִּֽי־הִנֵּ֥ה הַסְּתָ֖יּו עָבָ֑ר הַגֶּ֕שֶׁם חָלַ֖ף הָלַ֥ךְ לֽוֹ:
הַנִּצָּנִים֙ נִרְא֣וּ בָאָ֔רֶץ עֵ֥ת הַזָּמִ֖יר הִגִּ֑יעַ וְק֥וֹל הַתּ֖וֹר נִשְׁמַ֥ע בְּאַרְצֵֽנוּ:
הַתְּאֵנָה֙ חָֽנְטָ֣ה פַגֶּ֔יהָ וְהַגְּפָנִ֥ים | סְמָדַ֖ר נָ֣תְנוּ רֵ֑יחַ ק֥וּמִי לָ֛ךְ֯ רַעְיָתִ֥י יָֽפָתִ֖י וּלְכִי־לָֽךְ:
יֽוֹנָתִ֞י בְּחַגְוֵ֣י הַסֶּ֗לַע בְּסֵ֨תֶר֙ הַמַּדְרֵגָ֔ה הַרְאִ֨ינִי֙ אֶת־מַרְאַ֔יִךְ הַשְׁמִיעִ֖נִי אֶת־קוֹלֵ֑ךְ כִּֽי־קוֹלֵ֥ךְ עָרֵ֖ב וּמַרְאֵ֥יךְ נָאוֶֽה:
אֶֽחֱזוּ־לָ֨נוּ֙ שֽׁוּעָלִ֔ים שֻֽׁעָלִ֥ים קְטַנִּ֖ים מְחַבְּלִ֣ים כְּרָמִ֑ים וּכְרָמֵ֖ינוּ סְמָדַֽר:
דּוֹדִ֥י לִי֙ וַֽאֲנִ֣י ל֔וֹ הָֽרֹעֶ֖ה בַּשּֽׁוֹשַׁנִּֽים:
עַ֤ד שֶׁיָּפ֨וּחַ֙ הַיּ֔וֹם וְנָ֖סוּ הַצְּלָלִ֑ים סֹב֩ דְּמֵֽה־לְךָ֨ דוֹדִ֜י לִצְבִ֗י א֛וֹ לְעֹ֥פֶר הָֽאַיָּלִ֖ים עַל־הָ֥רֵי בָֽתֶר:</t>
        </is>
      </c>
      <c r="F360" s="10" t="inlineStr"/>
      <c r="G360" s="11" t="inlineStr">
        <is>
          <t>Shabbat Siddur Sefard Linear, Song of Songs.2</t>
        </is>
      </c>
      <c r="H360" s="8" t="inlineStr">
        <is>
          <t>The Metsudah Siddur, Metsudah Publications, 1981 - HE — CC-BY</t>
        </is>
      </c>
      <c r="I360" s="8" t="inlineStr">
        <is>
          <t>sefaria-shabbat-siddur-sefard-linear-song-of-songs-2</t>
        </is>
      </c>
    </row>
    <row r="361" ht="403" customHeight="1">
      <c r="A361" s="7">
        <f>IF(LEN(TRIM(F361))=0,"Approved","Comment to address")</f>
        <v/>
      </c>
      <c r="B361" s="12" t="inlineStr">
        <is>
          <t>Song of Songs</t>
        </is>
      </c>
      <c r="C361" s="12" t="inlineStr">
        <is>
          <t>shabbat</t>
        </is>
      </c>
      <c r="D361" s="12" t="inlineStr">
        <is>
          <t>Nusach Sefard</t>
        </is>
      </c>
      <c r="E361" s="13" t="inlineStr">
        <is>
          <t>עַל־מִשְׁכָּבִי֙ בַּלֵּיל֔וֹת בִּקַּ֕שְׁתִּי אֵ֥ת שֶׁאָֽהֲבָ֖ה נַפְשִׁ֑י בִּקַּשְׁתִּ֖יו וְלֹ֥א מְצָאתִֽיו:
אָק֨וּמָה נָּ֜א וַֽאֲסֽוֹבְבָ֣ה בָעִ֗יר בַּשְּׁוָקִים֙ וּבָ֣רְחֹב֔וֹת אֲבַקְשָׁ֕ה אֵ֥ת שֶׁאָֽהֲבָ֖ה נַפְשִׁ֑י בִּקַּשְׁתִּ֖יו וְלֹ֥א מְצָאתִֽיו:
מְצָא֨וּנִי֙ הַשֹּׁ֣מְרִ֔ים הַסֹּֽבְבִ֖ים בָּעִ֑יר אֵ֛ת שֶׁאָֽהֲבָ֥ה נַפְשִׁ֖י רְאִיתֶֽם:
כִּמְעַט֙ שֶֽׁעָבַ֣רְתִּי מֵהֶ֔ם עַ֣ד שֶׁמָּצָ֔אתִי אֵ֥ת שֶׁאָֽהֲבָ֖ה נַפְשִׁ֑י אֲחַזְתִּיו֙ וְלֹ֣א אַרְפֶּ֔נּוּ עַד־שֶׁ֤הֲבֵיאתִיו֙ אֶל־בֵּ֣ית אִמִּ֔י וְאֶל־חֶ֖דֶר הֽוֹרָתִֽי:
הִשְׁבַּ֨עְתִּי אֶתְכֶ֜ם בְּנ֤וֹת יְרֽוּשָׁלַ֨םִ֙ בִּצְבָא֔וֹת א֖וֹ בְּאַיְל֣וֹת הַשָדֶ֑ה אִם־תָּעִ֧ירוּ | וְֽאִם־תְּעֽוֹרְר֛וּ אֶת־הָאַֽהֲבָ֖ה עַ֥ד שֶׁתֶּחְפָּֽץ:
מִ֣י זֹ֗את עֹלָה֙ מִן־הַמִּדְבָּ֔ר כְּתִֽימְר֖וֹת עָשָׁ֑ן מְקֻטֶּ֤רֶת מֹר֙ וּלְבוֹנָ֔ה מִכֹּ֖ל אַבְקַ֥ת רוֹכֵֽל:
הִנֵּ֗ה מִטָּתוֹ שֶׁלִּשְׁלֹמֹ֔ה שִׁשִּׁ֥ים גִּבֹּרִ֖ים סָבִ֣יב לָ֑הּ מִגִּבֹּרֵ֖י יִשְׂרָאֵֽל:
כֻּלָּם֙ אֲחֻ֣זֵי חֶ֔רֶב מְלֻמְּדֵ֖י מִלְחָמָ֑ה אִ֤ישׁ חַרְבּוֹ עַל־יְרֵכ֔וֹ מִפַּ֖חַד בַּלֵּילֽוֹת:
אַפִּרְי֗וֹן עָ֤שָׂה לוֹ הַמֶּ֣לֶךְ שְׁלֹמֹ֔ה מֵֽעֲצֵ֖י הַלְּבָנֽוֹן:
עַמּוּדָיו֙ עָ֣שָׂה כֶ֔סֶף רְפִֽידָת֣וֹ זָהָ֔ב מֶרְכָּב֖וֹ אַרְגָּמָ֑ן תּוֹכוֹ רָצ֣וּף אַֽהֲבָ֔ה מִבְּנ֖וֹת יְרֽוּשָׁלָֽםִ:
צְאֶ֧ינָה | וּֽרְאֶ֛ינָה בְּנ֥וֹת צִיּ֖וֹן בַּמֶּ֣לֶךְ שְׁלֹמֹ֑ה בָּֽעֲטָרָ֗ה שֶֽׁעִטְּרָה־לּ֤וֹ אִמּוֹ בְּי֣וֹם חֲתֻנָּת֔וֹ וּבְי֖וֹם שִׂמְחַ֥ת לִבּֽוֹ:</t>
        </is>
      </c>
      <c r="F361" s="10" t="inlineStr"/>
      <c r="G361" s="14" t="inlineStr">
        <is>
          <t>Shabbat Siddur Sefard Linear, Song of Songs.3</t>
        </is>
      </c>
      <c r="H361" s="12" t="inlineStr">
        <is>
          <t>The Metsudah Siddur, Metsudah Publications, 1981 - HE — CC-BY</t>
        </is>
      </c>
      <c r="I361" s="12" t="inlineStr">
        <is>
          <t>sefaria-shabbat-siddur-sefard-linear-song-of-songs-3</t>
        </is>
      </c>
    </row>
    <row r="362" ht="409" customHeight="1">
      <c r="A362" s="7">
        <f>IF(LEN(TRIM(F362))=0,"Approved","Comment to address")</f>
        <v/>
      </c>
      <c r="B362" s="8" t="inlineStr">
        <is>
          <t>Song of Songs</t>
        </is>
      </c>
      <c r="C362" s="8" t="inlineStr">
        <is>
          <t>shabbat</t>
        </is>
      </c>
      <c r="D362" s="8" t="inlineStr">
        <is>
          <t>Nusach Sefard</t>
        </is>
      </c>
      <c r="E362" s="9" t="inlineStr">
        <is>
          <t>הִנָּ֨ךְ יָפָ֤ה רַעְיָתִי֙ הִנָּ֣ךְ יָפָ֔ה עֵינַ֣יִךְ יוֹנִ֔ים מִבַּ֖עַד לְצַמָּתֵ֑ךְ שַׂעְרֵךְ֙ כְּעֵ֣דֶר הָֽעִזִּ֔ים שֶׁגָּֽלְשׁ֖וּ מֵהַ֥ר גִּלְעָֽד:
שִׁנַּ֨יִךְ֙ כְּעֵ֣דֶר הַקְּצוּב֔וֹת שֶֽׁעָל֖וּ מִן־הָֽרַחְצָ֑ה שֶׁכֻּלָּם֙ מַתְאִימ֔וֹת וְשַׁכֻּלָ֖ה אֵ֥ין בָּהֶֽם:
כְּח֤וּט הַשָּׁנִי֙ שִׂפְתוֹתַ֔יִךְ וּמִדְבָּרֵ֖ךְ נָאוֶ֑ה כְּפֶ֤לַח הָֽרִמּוֹן֙ רַקָּתֵ֔ךְ מִבַּ֖עַד לְצַמָּתֵֽךְ:
כְּמִגְדַּ֤ל דָּוִיד֙ צַוָּארֵ֔ךְ בָּנ֖וּי לְתַלְפִּיּ֑וֹת אֶ֤לֶף הַמָּגֵן֙ תָּל֣וּי עָלָ֔יו כֹּ֖ל שִׁלְטֵ֥י הַגִּבֹּרִֽים:
שְׁנֵ֥י שָׁדַ֛יִךְ כִּשְׁנֵ֥י עֳפָרִ֖ים תְּאוֹמֵ֣י צְבִיָּ֑ה הָֽרֹעִ֖ים בַּשּֽׁוֹשַׁנִּֽים:
עַ֤ד שֶׁיָּפ֨וּחַ֙ הַיּ֔וֹם וְנָ֖סוּ הַצְּלָלִ֑ים אֵ֤לֶךְ לִי֙ אֶל־הַ֣ר הַמּ֔וֹר וְאֶל־גִּבְעַ֖ת הַלְּבוֹנָֽה:
כֻּלָּ֤ךְ יָפָה֙ רַעְיָתִ֔י וּמ֖וּם אֵ֥ין בָּֽךְ:
אִתִּ֤י מִלְּבָנוֹן֙ כַּלָּ֔ה אִתִּ֖י מִלְּבָנ֣וֹן תָּב֑וֹאִי תָּשׁ֣וּרִי | מֵרֹ֣אשׁ אֲמָנָ֗ה מֵרֹ֤אשׁ שְׂנִיר֙ וְחֶרְמ֔וֹן מִמְּעֹנ֣וֹת אֲרָי֔וֹת מֵהַֽרְרֵ֖י נְמֵרִֽים:
לִבַּבְתִּ֖נִי אֲחֹתִ֣י כַלָּ֑ה לִבַּבְתִּ֨נִי֙ בְּאַחַ֣תּ מֵֽעֵינַ֔יִךְ בְּאַחַ֥ד עֲנָ֖ק מִצַּוְּרֹנָֽיִךְ:
מַה־יָּפ֥וּ דֹדַ֖יִךְ אֲחֹתִ֣י כַלָּ֑ה מַה־טֹּ֤בוּ דֹדַ֙יִךְ֙ מִיַּ֔יִן וְרֵ֥יחַ שְׁמָנַ֖יִךְ מִכָּל־בְּשָׂמִֽים:
נֹ֛פֶת תִּטֹּ֥פְנָה שִׂפְתוֹתַ֖יִךְ כַּלָּ֑ה דְּבַ֤שׁ וְחָלָב֙ תַּ֣חַת לְשׁוֹנֵ֔ךְ וְרֵ֥יחַ שַׂלְמֹתַ֖יִךְ כְּרֵ֥יחַ לְבָנֽוֹן:
גַּ֥ן | נָע֖וּל אֲחֹתִ֣י כַלָּ֑ה גַּ֥ל נָע֖וּל מַעְיָ֥ן חָתֽוּם:
שְׁלָחַ֨יִךְ֙ פַּרְדֵּ֣ס רִמּוֹנִ֔ים עִ֖ם פְּרִ֣י מְגָדִ֑ים כְּפָרִ֖ים עִם־נְרָדִֽים:
נֵ֣רְדְּ | וְכַרְכֹּ֗ם קָנֶה֙ וְקִנָּמ֔וֹן עִ֖ם כָּל־עֲצֵ֣י לְבוֹנָ֑ה ֚מֹר וַֽאֲהָל֔וֹת עִ֖ם כָּל־רָאשֵׁ֥י בְשָׂמִֽים:
מַעְיַ֣ן גַּנִּ֔ים בְּאֵ֖ר מַ֣יִם חַיִּ֑ים וְֽנֹזְלִ֖ים מִן־לְבָנֽוֹן:
ע֤וּרִי צָפוֹן֙ וּב֣וֹאִי תֵימָ֔ן הָפִ֥יחִי גַנִּ֖י יִזְּל֣וּ בְשָׂמָ֑יו יָבֹ֤א דוֹדִי֙ לְגַנּ֔וֹ וְיֹאכַ֖ל פְּרִ֥י מְגָדָֽיו:</t>
        </is>
      </c>
      <c r="F362" s="10" t="inlineStr"/>
      <c r="G362" s="11" t="inlineStr">
        <is>
          <t>Shabbat Siddur Sefard Linear, Song of Songs.4</t>
        </is>
      </c>
      <c r="H362" s="8" t="inlineStr">
        <is>
          <t>The Metsudah Siddur, Metsudah Publications, 1981 - HE — CC-BY</t>
        </is>
      </c>
      <c r="I362" s="8" t="inlineStr">
        <is>
          <t>sefaria-shabbat-siddur-sefard-linear-song-of-songs-4</t>
        </is>
      </c>
    </row>
    <row r="363" ht="409" customHeight="1">
      <c r="A363" s="7">
        <f>IF(LEN(TRIM(F363))=0,"Approved","Comment to address")</f>
        <v/>
      </c>
      <c r="B363" s="12" t="inlineStr">
        <is>
          <t>Song of Songs</t>
        </is>
      </c>
      <c r="C363" s="12" t="inlineStr">
        <is>
          <t>shabbat</t>
        </is>
      </c>
      <c r="D363" s="12" t="inlineStr">
        <is>
          <t>Nusach Sefard</t>
        </is>
      </c>
      <c r="E363" s="13" t="inlineStr">
        <is>
          <t>בָּ֣אתִי לְגַנִּי֘ אֲחֹתִ֣י כַלָּה֒ אָרִ֤יתִי מוֹרִי֙ עִם־בְּשָׂמִ֔י אָכַ֤לְתִּי יַעְרִי֙ עִם־דִּבְשִׁ֔י שָׁתִ֥יתִי יֵינִ֖י עִם־חֲלָבִ֑י אִכְל֣וּ רֵעִ֔ים שְׁת֥וּ וְשִׁכְר֖וּ דּוֹדִֽים:
אֲנִ֥י יְשֵׁנָ֖ה וְלִבִּ֣י עֵ֑ר ק֣וֹל | דּוֹדִ֣י דוֹפֵ֗ק פִּתְחִי־לִ֞י אֲחֹתִ֤י רַעְיָתִי֙ יֽוֹנָתִ֣י תַמָּתִ֔י שֶׁרֹֹּאשִׁי֙ נִמְלָא־טָ֔ל קְוֻצּוֹתַ֖י רְסִ֥יסֵי לָֽיְלָה:
פָּשַׁ֨טְתִּי֙ אֶת־כֻּתָּנְתִּ֔י אֵיכָ֖כָה אֶלְבָּשֶׁ֑נָּה רָחַ֥צְתִּי אֶת־רַגְלַ֖י אֵיכָ֥כָה אֲטַנְּפֵֽם:
דּוֹדִ֗י שָׁלַ֤ח יָדוֹ מִן־הַח֔וֹר וּמֵעַ֖י הָמ֥וּ עָלָֽיו:
קַ֥מְתִּי אֲנִ֖י לִפְתֹּ֣חַ לְדוֹדִ֑י וְיָדַ֣י נָֽטְפוּ־מ֗וֹר וְאֶצְבְּעֹתַי֙ מ֣וֹר עֹבֵ֔ר עַ֖ל כַּפּ֥וֹת הַמַּנְעֽוּל:
פָּתַ֤חְתִּי אֲנִי֙ לְדוֹדִ֔י וְדוֹדִ֖י חָמַ֣ק עָבָ֑ר נַפְשִׁי֙ יָֽצְאָ֣ה בְדַבְּר֔וֹ בִּקַּשְׁתִּ֨יהוּ֙ וְלֹ֣א מְצָאתִ֔יהוּ קְרָאתִ֖יו וְלֹ֥א עָנָֽנִי:
מְצָאֻ֧נִי הַשֹּֽׁמְרִ֛ים הַסֹּֽבְבִ֥ים בָּעִ֖יר הִכּ֣וּנִי פְצָע֑וּנִי נָֽשְׂא֤וּ אֶת־רְדִידִי֙ מֵֽעָלַ֔י שֹֽׁמְרֵ֖י הַֽחֹמֽוֹת:
הִשְׁבַּ֥עְתִּי אֶתְכֶ֖ם בְּנ֣וֹת יְרֽוּשָׁלָ֑םִ אִֽם־תִּמְצְאוּ֙ אֶת־דּוֹדִ֔י מַה־תַּגִּ֣ידוּ ל֔וֹ שֶֽׁחוֹלַ֥ת אַֽהֲבָ֖ה אָֽנִי:
מַה־דּוֹדֵ֣ךְ מִדּ֔וֹד הַיָּפָ֖ה בַּנָּשִׁ֑ים מַה־דּוֹדֵ֣ךְ מִדּ֔וֹד שֶׁכָּ֖כָה הִשְׁבַּעְתָּֽנוּ:
דּוֹדִ֥י צַח֙ וְאָד֔וֹם דָּג֖וּל מֵֽרְבָבָֽה:
רֹאשׁ֖וֹ כֶּ֣תֶם פָּ֑ז קְוֻצּוֹתָיו֙ תַּלְתַּלִּ֔ים שְׁחֹר֖וֹת כָּֽעוֹרֵֽב:
עֵינָ֕יו כְּיוֹנִ֖ים עַל־אֲפִ֣יקֵי מָ֑יִם רֹֽחֲצוֹת֙ בֶּֽחָלָ֔ב יֽשְׁב֖וֹת עַל־מִלֵּֽאת:
לְחָיָו֙ כַּֽעֲרוּגַ֣ת הַבֹּ֔שֶׂם מִגְדְּל֖וֹת מֶרְקָחִ֑ים שִׂפְתוֹתָיו֙ שֽׁוֹשַׁנִּ֔ים נֹֽטְפ֖וֹת מ֥וֹר עֹבֵֽר:
יָדָיו֙ גְּלִילֵ֣י זָהָ֔ב מְמֻלָּאִ֖ים בַּתַּרְשִׁ֑ישׁ מֵעָיו֙ עֶ֣שֶׁת שֵׁ֔ן מְעֻלֶּ֖פֶת סַפִּירִֽים:
שׁוֹקָיו֙ עַמּ֣וּדֵי שֵׁ֔שׁ מְיֻסָּדִ֖ים עַל־אַדְנֵי־פָ֑ז מַרְאֵ֨הוּ֙ כַּלְּבָנ֔וֹן בָּח֖וּר כָּֽאֲרָזִֽים:
חִכּוֹ מַֽמְתַקִּ֔ים וְכֻלּ֖וֹ מַֽחֲמַדִּ֑ים זֶ֤ה דוֹדִי֙ וְזֶ֣ה רֵעִ֔י בְּנ֖וֹת יְרֽוּשָׁלָֽםִ:</t>
        </is>
      </c>
      <c r="F363" s="10" t="inlineStr"/>
      <c r="G363" s="14" t="inlineStr">
        <is>
          <t>Shabbat Siddur Sefard Linear, Song of Songs.5</t>
        </is>
      </c>
      <c r="H363" s="12" t="inlineStr">
        <is>
          <t>The Metsudah Siddur, Metsudah Publications, 1981 - HE — CC-BY</t>
        </is>
      </c>
      <c r="I363" s="12" t="inlineStr">
        <is>
          <t>sefaria-shabbat-siddur-sefard-linear-song-of-songs-5</t>
        </is>
      </c>
    </row>
    <row r="364" ht="386" customHeight="1">
      <c r="A364" s="7">
        <f>IF(LEN(TRIM(F364))=0,"Approved","Comment to address")</f>
        <v/>
      </c>
      <c r="B364" s="8" t="inlineStr">
        <is>
          <t>Song of Songs</t>
        </is>
      </c>
      <c r="C364" s="8" t="inlineStr">
        <is>
          <t>shabbat</t>
        </is>
      </c>
      <c r="D364" s="8" t="inlineStr">
        <is>
          <t>Nusach Sefard</t>
        </is>
      </c>
      <c r="E364" s="9" t="inlineStr">
        <is>
          <t>֚אָנָה הָלַ֣ךְ דּוֹדֵ֔ךְ הַיָּפָ֖ה בַּנָּשִׁ֑ים ֚אָנָה פָּנָ֣ה דוֹדֵ֔ךְ וּנְבַקְשֶׁ֖נּוּ עִמָּֽךְ:
דּוֹדִי֙ יָרַ֣ד לְגַנּ֔וֹ לַֽעֲרֻג֖וֹת הַבֹּ֑שֶׂם לִרְעוֹת֙ בַּגַּנִּ֔ים וְלִלְקֹ֖ט שֽׁוֹשַׁנִּֽים:
אֲנִ֤י לְדוֹדִי֙ וְדוֹדִ֣י לִ֔י הָֽרוֹעֶ֖ה בַּשּֽׁוֹשַׁנִּֽים:
יָפָ֨ה אַ֤תְּ רַעְיָתִי֙ כְּתִרְצָ֔ה נָאוָ֖ה כִּירֽוּשָׁלִָ֑ם אֲיֻמָּ֖ה כַּנִּדְגָּלֽוֹת:
הָסֵ֤בִּי עֵינַ֨יִךְ֙ מִנֶּגְדִּ֔י שֶׁ֥הֵ֖ם הִרְהִיבֻ֑נִי שַׂעְרֵךְ֙ כְּעֵ֣דֶר הָֽעִזִּ֔ים שֶׁגָּֽלְשׁ֖וּ מִן־הַגִּלְעָֽד:
שִׁנַּ֨יִךְ֙ כְּעֵ֣דֶר הָֽרְחֵלִ֔ים שֶֽׁעָל֖וּ מִן־הָֽרַחְצָ֑ה שֶׁכֻּלָּם֙ מַתְאִימ֔וֹת וְשַׁכֻּלָ֖ה אֵ֥ין בָּהֶֽם:
כְּפֶ֤לַח הָֽרִמּוֹן֙ רַקָּתֵ֔ךְ מִבַּ֖עַד לְצַמָּתֵֽךְ:
שִׁשִּׁ֥ים הֵ֨מָּה֙ מְלָכ֔וֹת וּשְׁמֹנִ֖ים פִּֽילַגְשִׁ֑ים וַֽעֲלָמ֖וֹת אֵ֥ין מִסְפָּֽר:
אַחַ֥ת הִיא֙ יֽוֹנָתִ֣י תַמָּתִ֔י אַחַ֥ת הִיא֙ לְאִמָּ֔הּ בָּרָ֥ה הִ֖יא לְיֽוֹלַדְתָּ֑הּ רָא֤וּהָ בָנוֹת֙ וַֽיְאַשְּׁר֔וּהָ מְלָכ֥וֹת וּפִֽילַגְשִׁ֖ים וַֽיְהַֽלְלֽוּהָ:
מִי־זֹ֥את הַנִּשְׁקָפָ֖ה כְּמוֹ־שָׁ֑חַר יָפָ֣ה כַלְּבָנָ֗ה בָּרָה֙ כַּֽחַמָּ֔ה אֲיֻמָּ֖ה כַּנִּדְגָּלֽוֹת:
אֶל־גִּנַּ֤ת אֱגוֹז֙ יָרַ֔דְתִּי לִרְא֖וֹת בְּאִבֵּ֣י הַנָּ֑חַל לִרְאוֹת֙ הֲפָֽרְחָ֣ה הַגֶּ֔פֶן הֵנֵ֖צוּ הָֽרִמֹּנִֽים:
לֹ֣א יָדַ֔עְתִּי נַפְשִׁ֣י שָׂמַ֔תְנִי מַרְכְּב֖וֹת עַמִּ֥י נָדִֽיב:</t>
        </is>
      </c>
      <c r="F364" s="10" t="inlineStr"/>
      <c r="G364" s="11" t="inlineStr">
        <is>
          <t>Shabbat Siddur Sefard Linear, Song of Songs.6</t>
        </is>
      </c>
      <c r="H364" s="8" t="inlineStr">
        <is>
          <t>The Metsudah Siddur, Metsudah Publications, 1981 - HE — CC-BY</t>
        </is>
      </c>
      <c r="I364" s="8" t="inlineStr">
        <is>
          <t>sefaria-shabbat-siddur-sefard-linear-song-of-songs-6</t>
        </is>
      </c>
    </row>
    <row r="365" ht="403" customHeight="1">
      <c r="A365" s="7">
        <f>IF(LEN(TRIM(F365))=0,"Approved","Comment to address")</f>
        <v/>
      </c>
      <c r="B365" s="12" t="inlineStr">
        <is>
          <t>Song of Songs</t>
        </is>
      </c>
      <c r="C365" s="12" t="inlineStr">
        <is>
          <t>shabbat</t>
        </is>
      </c>
      <c r="D365" s="12" t="inlineStr">
        <is>
          <t>Nusach Sefard</t>
        </is>
      </c>
      <c r="E365" s="13" t="inlineStr">
        <is>
          <t>שׁ֤וּבִי שׁ֨וּבִי֙ הַשּׁ֣וּלַמִּ֔ית שׁ֥וּבִי שׁ֖וּבִי וְנֶֽחֱזֶה־בָּ֑ךְ מַֽה־תֶּֽחֱזוּ֙ בַּשּׁ֣וּלַמִּ֔ית כִּמְחֹלַ֖ת הַֽמַּֽחֲנָֽיִם:
מַה־יָּפ֧וּ פְעָמַ֛יִךְ בַּנְּעָלִ֖ים בַּת־נָדִ֑יב חַמּוּקֵ֣י יְרֵכַ֔יִךְ כְּמ֣וֹ חֲלָאִ֔ים מַֽעֲשֵׂ֖ה יְדֵ֥י אָמָּֽן:
שָׁרְרֵךְ֙ אַגַּ֣ן הַסַּ֔הַר אַל־יֶחְסַ֖ר הַמָּ֑זֶג בִּטְנֵךְ֙ עֲרֵמַ֣ת חִטִּ֔ים סוּגָ֖ה בַּשּֽׁוֹשַׁנִּֽים:
שְׁנֵ֥י שָׁדַ֛יִךְ כִּשְׁנֵ֥י עֳפָרִ֖ים תָּֽאֳמֵ֥י צְבִיָּֽה:
צַוָּארֵ֖ךְ כְּמִגְדַּ֣ל הַשֵּׁ֑ן עֵינַ֜יִךְ בְּרֵכ֣וֹת בְּחֶשְׁבּ֗וֹן עַל־שַׁ֨עַר֙ בַּת־רַבִּ֔ים אַפֵּךְ֙ כְּמִגְדַּ֣ל הַלְּבָנ֔וֹן צוֹפֶ֖ה פְּנֵ֥י דַמָּֽשֶׂק:
רֹאשֵׁ֤ךְ עָלַ֨יִךְ֙ כַּכַּרְמֶ֔ל וְדַלַּ֥ת רֹאשֵׁ֖ךְ כָּֽאַרְגָּמָ֑ן מֶ֖לֶךְ אָס֥וּר בָּֽרְהָטִֽים:
מַה־יָּפִית֙ וּמַה־נָּעַ֔מְתְּ אַֽהֲבָ֖ה בַּתַּֽעֲנוּגִֽים:
זֹ֤את קֽוֹמָתֵךְ֙ דָּֽמְתָ֣ה לְתָמָ֔ר וְשָׁדַ֖יִךְ לְאַשְׁכֹּלֽוֹת:
אָמַ֨רְתִּי֙ אֶֽעֱלֶ֣ה בְתָמָ֔ר אֹֽחֲזָ֖ה בְּסַנְסִנָּ֑יו וְיִֽהְיוּ־נָ֤א שָׁדַ֙יִךְ֙ כְּאֶשְׁכְּל֣וֹת הַגֶּ֔פֶן וְרֵ֥יחַ אַפֵּ֖ךְ כַּתַּפּוּחִֽים:
וְחִכֵּ֕ךְ כְּיֵ֥ין הַטּ֛וֹב הוֹלֵ֥ךְ לְדוֹדִ֖י לְמֵֽישָׁרִ֑ים דּוֹבֵ֖ב שִׂפְתֵ֥י יְשֵׁנִֽים:
אֲנִ֣י לְדוֹדִ֔י וְעָלַ֖י תְּשֽׁוּקָתֽוֹ:
לְכָ֤ה דוֹדִי֙ נֵצֵ֣א הַשָדֶ֔ה נָלִ֖ינָה בַּכְּפָרִֽים:
נַשְׁכִּ֨ימָה֙ לַכְּרָמִ֔ים נִרְאֶ֞ה אִם־פָּֽרְחָ֤ה הַגֶּ֨פֶן֨ פִּתַּ֣ח הַסְּמָדַ֔ר הֵנֵ֖צוּ הָֽרִמּוֹנִ֑ים שָׁ֛ם אֶתֵּ֥ן אֶת־דֹּדַ֖י לָֽךְ:
הַדּֽוּדָאִ֣ים נָֽתְנוּ־רֵ֗יחַ וְעַל־פְּתָחֵ֨ינוּ֙ כָּל־מְגָדִ֔ים חֲדָשִׁ֖ים גַּם־יְשָׁנִ֑ים דּוֹדִ֖י צָפַ֥נְתִּי לָֽךְ:</t>
        </is>
      </c>
      <c r="F365" s="10" t="inlineStr"/>
      <c r="G365" s="14" t="inlineStr">
        <is>
          <t>Shabbat Siddur Sefard Linear, Song of Songs.7</t>
        </is>
      </c>
      <c r="H365" s="12" t="inlineStr">
        <is>
          <t>The Metsudah Siddur, Metsudah Publications, 1981 - HE — CC-BY</t>
        </is>
      </c>
      <c r="I365" s="12" t="inlineStr">
        <is>
          <t>sefaria-shabbat-siddur-sefard-linear-song-of-songs-7</t>
        </is>
      </c>
    </row>
    <row r="366" ht="409" customHeight="1">
      <c r="A366" s="7">
        <f>IF(LEN(TRIM(F366))=0,"Approved","Comment to address")</f>
        <v/>
      </c>
      <c r="B366" s="8" t="inlineStr">
        <is>
          <t>Song of Songs</t>
        </is>
      </c>
      <c r="C366" s="8" t="inlineStr">
        <is>
          <t>shabbat</t>
        </is>
      </c>
      <c r="D366" s="8" t="inlineStr">
        <is>
          <t>Nusach Sefard</t>
        </is>
      </c>
      <c r="E366" s="9" t="inlineStr">
        <is>
          <t>מִ֤י יִתֶּנְךָ֙ כְּאָ֣ח לִ֔י יוֹנֵ֖ק שְׁדֵ֣י אִמִּ֑י אֶֽמְצָֽאֲךָ֤ בַחוּץ֙ אֶשָּׁ֣קְךָ֔ גַּ֖ם לֹֽא־יָבֻ֥זוּ לִֽי:
אֶנְהָֽגְךָ֗ אֲבִֽיאֲךָ֛ אֶל־בֵּ֥ית אִמִּ֖י תְּלַמְּדֵ֑נִי אַשְׁקְךָ֙ מִיַּ֣יִן הָרֶ֔קַח מֵֽעֲסִ֖יס רִמֹּנִֽי:
שְׂמֹאלוֹ תַּ֣חַת רֹאשִׁ֔י וִֽימִינ֖וֹ תְּחַבְּקֵֽנִי:
הִשְׁבַּ֥עְתִּי אֶתְכֶ֖ם בְּנ֣וֹת יְרֽוּשָׁלִָ֑ם מַה־תָּעִ֧ירוּ | וּֽמַה־תְּעֹֽרְר֛וּ אֶת־הָאַֽהֲבָ֖ה עַ֥ד־שֶׁתֶּחְפָּֽץ:
מִ֣י זֹ֗את עֹלָה֙ מִן־הַמִּדְבָּ֔ר מִתְרַפֶּ֖קֶת עַל־דּוֹדָ֑הּ תַּ֤חַת הַתַּפּ֨וּחַ֙ עֽוֹרַרְתִּ֔יךָ ֚שָׁמָּה חִבְּלָֽתְךָ֣ אִמֶּ֔ךָ שָׁ֖מָּה חִבְּלָ֥ה יְלָדַֽתְךָ:
שִׂימֵ֨נִי כַֽחוֹתָ֜ם עַל־לִבֶּ֗ךָ כַּֽחוֹתָם֙ עַל־זְרוֹעֶ֔ךָ כִּֽי־עַזָּ֤ה כַמָּ֨וֶת֙ אַֽהֲבָ֔ה קָשָׁ֥ה כִשְׁא֖וֹל קִנְאָ֑ה רְשָׁפֶ֕יהָ רִשְׁפֵּ֕י אֵ֖שׁ שַׁלְהֶֽבֶתְיָֽה:
מַ֣יִם רַבִּ֗ים לֹ֤א יֽוּכְלוּ֙ לְכַבּ֣וֹת אֶת־הָאַֽהֲבָ֔ה וּנְהָ֖רוֹת לֹ֣א יִשְׁטְפ֑וּהָ אִם־יִתֵּ֨ן אִ֜ישׁ אֶת־כָּל־ה֤וֹן בֵּיתוֹ בָּאַֽהֲבָ֔ה בּ֖וֹז יָב֥וּזוּ לֽוֹ:
אָח֥וֹת לָ֨נוּ֙ קְטַנָּ֔ה וְשָׁדַ֖יִם אֵ֣ין לָ֑הּ מַֽה־נַּֽעֲשֶׂה֙ לַֽאֲחוֹתֵ֔נוּ בַּיּ֖וֹם שֶׁיְּדֻבַּר־בָּֽהּ:
אִם־חוֹמָ֣ה הִ֔יא נִבְנֶ֥ה עָלֶ֖יהָ טִ֣ירַת כָּ֑סֶף וְאִם־דֶּ֣לֶת הִ֔יא נָצ֥וּר עָלֶ֖יהָ ל֥וּחַ אָֽרֶז:
אֲנִ֣י חוֹמָ֔ה וְשָׁדַ֖י כַּמִּגְדָּל֑וֹת אָ֛ז הָיִ֥יתִי בְעֵינָ֖יו כְּמֽוֹצְאֵ֖ת שָׁלֽוֹם:
כֶּ֣רֶם הָיָ֤ה לִשְׁלֹמֹה֙ בְּבַ֣עַל הָמ֔וֹן נָתַ֥ן אֶת־הַכֶּ֖רֶם לַנֹּֽטְרִ֑ים אִ֛ישׁ יָבִ֥א בְּפִרְי֖וֹ אֶ֥לֶף כָּֽסֶף:
כַּרְמִ֥י שֶׁלִּ֖י לְפָנָ֑י הָאֶ֤לֶף לְךָ֙ שְׁלֹֹמֹ֔ה וּמָאתַ֖יִם לְנֹֽטְרִ֥ים אֶת־פִּרְיֽוֹ:
הַיּוֹשֶׁ֣בֶת בַּגַּנִּ֗ים חֲבֵרִ֛ים מַקְשִׁיבִ֥ים לְקוֹלֵ֖ךְ הַשְׁמִיעִֽנִי:
בְּרַ֣ח | דּוֹדִ֗י וּֽדְמֵה־לְךָ֤ לִצְבִי֙ ֚אוֹ לְעֹ֣פֶר הָֽאַיָּלִ֔ים עַ֖ל הָרֵ֥י בְשָׂמִֽים:</t>
        </is>
      </c>
      <c r="F366" s="10" t="inlineStr"/>
      <c r="G366" s="11" t="inlineStr">
        <is>
          <t>Shabbat Siddur Sefard Linear, Song of Songs.8</t>
        </is>
      </c>
      <c r="H366" s="8" t="inlineStr">
        <is>
          <t>The Metsudah Siddur, Metsudah Publications, 1981 - HE — CC-BY</t>
        </is>
      </c>
      <c r="I366" s="8" t="inlineStr">
        <is>
          <t>sefaria-shabbat-siddur-sefard-linear-song-of-songs-8</t>
        </is>
      </c>
    </row>
    <row r="367" ht="409" customHeight="1">
      <c r="A367" s="7">
        <f>IF(LEN(TRIM(F367))=0,"Approved","Comment to address")</f>
        <v/>
      </c>
      <c r="B367" s="12" t="inlineStr">
        <is>
          <t>Psalm 107</t>
        </is>
      </c>
      <c r="C367" s="12" t="inlineStr">
        <is>
          <t>shabbat</t>
        </is>
      </c>
      <c r="D367" s="12" t="inlineStr">
        <is>
          <t>Nusach Sefard</t>
        </is>
      </c>
      <c r="E367" s="13" t="inlineStr">
        <is>
          <t>הֹדוּ לַיהֹוָה כִּי־טוֹב
כִּי לְעוֹלָם חַסְדּוֹ:
יֹאמְרוּ גְּאוּלֵי יְהֹוָה
אֲשֶׁר גְּאָלָם
מִיַּד־צָר:
וּמֵאֲרָצוֹת קִבְּצָם
מִמִּזְרָח וּמִמַּעֲרָב
מִצָּפוֹן וּמִיָּם:
תָּעוּ בַמִּדְבָּר
בִּישִׁימוֹן דָּֽרֶךְ
עִיר מוֹשָׁב לֹא מָצָֽאוּ:
רְעֵבִים גַּם־צְמֵאִים
נַפְשָׁם בָּהֶם תִּתְעַטָּף:
וַיִּצְעֲקוּ אֶל־יְהֹוָה
בַּצַּר לָהֶם
מִמְּצוּקוֹתֵיהֶם יַצִּילֵם:
וַיַּדְרִיכֵם בְּדֶֽרֶךְ יְשָׁרָה
לָלֶֽכֶת אֶל־עִיר מוֹשָׁב:
יוֹדוּ לַיהֹוָה חַסְדּוֹ
וְנִפְלְאוֹתָיו לִבְנֵי אָדָם:
כִּי־הִשְׂבִּֽיעַ נֶֽפֶשׁ שֹׁקֵקָה
וְנֶֽפֶשׁ רְעֵבָה מִלֵּא־טוֹב:
יֽשְׁבֵי חֽשֶׁךְ
וְצַלְמָֽוֶת
אֲסִירֵי עֳנִי וּבַרְזֶל:
כִּי־הִמְרוּ אִמְרֵי־אֵל
וַעֲצַת עֶלְיוֹן
נָאָֽצוּ:
וַיַּכְנַע בֶּעָמָל לִבָּם
כָּשְׁלוּ וְאֵין עֹזֵר:
וַיִּזְעֲקוּ אֶל־יְהֹוָה
בַּצַּר לָהֶם
מִמְּצֻקוֹתֵיהֶם יוֹשִׁיעֵם:
יוֹצִיאֵם מֵחֽשֶׁךְ
וְצַלְמָֽוֶת
וּמוֹסְרוֹתֵיהֶם יְנַתֵּק:
יוֹדוּ לַיהֹוָה חַסְדּוֹ
וְנִפְלְאוֹתָיו לִבְנֵי אָדָם:
כִּי־שִׁבַּר דַּלְתוֹת נְחֽשֶׁת
וּבְרִיחֵי בַרְזֶל גִּדֵּֽעַ:
אֱוִלִים
מִדֶּֽרֶךְ פִּשְׁעָם
וּמֵעֲוֹנֹתֵיהֶם
יִתְעַנּוּ:
כָּל־אֹֽכֶל תְּתַעֵב נַפְשָׁם
וַיַּגִּיעוּ עַד־שַֽׁעֲרֵי מָֽוֶת:
וַיִּזְעֲקוּ אֶל־יְהֹוָה
בַּצַּר לָהֶם
מִמְּצֻקוֹתֵיהֶם יוֹשִׁיעֵם:
יִשְׁלַח דְּבָרוֹ וְיִרְפָּאֵם
וִימַלֵּט מִשְּׁחִיתוֹתָם:
יוֹדוּ לַיהֹוָה חַסְדּוֹ
וְנִפְלְאוֹתָיו לִבְנֵי אָדָם:
וְיִזְבְּחוּ זִבְחֵי תוֹדָה
וִיסַפְּרוּ מַעֲשָׂיו בְּרִנָּה:
יוֹרְדֵי הַיָּם בָּאֳנִיּוֹת
עֹשֵׂי מְלָאכָה בְּמַֽיִם רַבִּים:
הֵֽמָּה רָאוּ מַעֲשֵׂי יְהֹוָה
וְנִפְלְאוֹתָיו בִּמְצוּלָה:
וַיֹּאמֶר וַיַּעֲמֵד רֽוּחַ סְעָרָה
וַתְּרוֹמֵם גַּלָּיו:
יַעֲלוּ שָׁמַֽיִם
יֵרְדוּ תְהוֹמוֹת
נַפְשָׁם בְּרָעָה תִתְמוֹגָג:
יָחֽוֹגּוּ וְיָנֽוּעוּ כַּשִּׁכּוֹר
וְכָל־חָכְמָתָם תִּתְבַּלָּע:
וַיִּצְעֲקוּ אֶל־יְהֹוָה
בַּצַּר לָהֶם
וּמִמְּצוּקֹתֵיהֶם יוֹצִיאֵם:
יָקֵם סְעָרָה לִדְמָמָה
וַיֶּחֱשׁוּ גַּלֵּיהֶם:
וַיִּשְׂמְחוּ
כִי־יִשְׁתֹּֽקוּ
וַיַּנְחֵם אֶל־מְחוֹז חֶפְצָם:
יוֹדוּ לַיהֹוָה חַסְדּוֹ
וְנִפְלְאוֹתָיו לִבְנֵי אָדָם:
וִירוֹמְמֽוּהוּ
בִּקְהַל־עָם
וּבְמוֹשַׁב זְקֵנִים יְהַלְלֽוּהוּ:
יָשֵׂם נְהָרוֹת לְמִדְבָּר
וּמֹצָֽאֵי מַֽיִם לְצִמָּאוֹן:
אֶֽרֶץ פְּרִי לִמְלֵחָה
מֵרָעַת יֽוֹשְׁבֵי בָהּ:
יָשֵׂם מִדְבָּר לַאֲגַם־מַֽיִם
וְאֶֽרֶץ צִיָּה לְמֹצָֽאֵי מָֽיִם:
וַיּֽוֹשֶׁב שָׁם רְעֵבִים
וַיְכוֹנְנוּ עִיר מוֹשָׁב:
וַיִּזְרְעוּ שָׂדוֹת וַיִּטְּעוּ כְרָמִים
וַיַּעֲשׂוּ פְּרִי תְבוּאָה:
וַיְבָרְכֵם
וַיִּרְבּוּ מְאֹד
וּבְהֶמְתָּם לֹא יַמְעִיט:
וַיִּמְעֲטוּ
וַיָּשֹֽׁחוּ
מֵעֹֽצֶר רָעָה וְיָגוֹן:
שֹׁפֵךְ בּוּז עַל־נְדִיבִים
וַיַּתְעֵם בְּתֹֽהוּ
לֹא־דָֽרֶךְ:
וַיְשַׂגֵּב אֶבְיוֹן מֵעֽוֹנִי
וַיָּֽשֶׂם כַּצֹּאן מִשְׁפָּחוֹת:
יִרְאוּ יְשָׁרִים וְיִשְׂמָֽחוּ
וְכָל־עַוְלָה קָֽפְצָה פִּֽיהָ:
מִי־חָכָם וְיִשְׁמָר־אֵֽלֶּה
וְיִתְבּוֹנְנוּ
חַסְדֵּי יְהוָה:</t>
        </is>
      </c>
      <c r="F367" s="10" t="inlineStr"/>
      <c r="G367" s="14" t="inlineStr">
        <is>
          <t>Shabbat Siddur Sefard Linear, Mincha Service for Erev Shabbos, Psalm 107</t>
        </is>
      </c>
      <c r="H367" s="12" t="inlineStr">
        <is>
          <t>The Metsudah Siddur, Metsudah Publications, 1981 - HE — CC-BY</t>
        </is>
      </c>
      <c r="I367" s="12" t="inlineStr">
        <is>
          <t>sefaria-shabbat-siddur-sefard-linear-mincha-service-for-erev-shabbos-psalm-107</t>
        </is>
      </c>
    </row>
    <row r="368" ht="409" customHeight="1">
      <c r="A368" s="7">
        <f>IF(LEN(TRIM(F368))=0,"Approved","Comment to address")</f>
        <v/>
      </c>
      <c r="B368" s="8" t="inlineStr">
        <is>
          <t>Aleinu</t>
        </is>
      </c>
      <c r="C368" s="8" t="inlineStr">
        <is>
          <t>shabbat</t>
        </is>
      </c>
      <c r="D368" s="8" t="inlineStr">
        <is>
          <t>Nusach Sefard</t>
        </is>
      </c>
      <c r="E368" s="9"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t>
        </is>
      </c>
      <c r="F368" s="10" t="inlineStr"/>
      <c r="G368" s="11" t="inlineStr">
        <is>
          <t>Shabbat Siddur Sefard Linear, Mincha Service for Erev Shabbos, Aleinu</t>
        </is>
      </c>
      <c r="H368" s="8" t="inlineStr">
        <is>
          <t>The Metsudah Siddur, Metsudah Publications, 1981 - HE — CC-BY</t>
        </is>
      </c>
      <c r="I368" s="8" t="inlineStr">
        <is>
          <t>sefaria-shabbat-siddur-sefard-linear-mincha-service-for-erev-shabbos-aleinu</t>
        </is>
      </c>
    </row>
    <row r="369" ht="409" customHeight="1">
      <c r="A369" s="7">
        <f>IF(LEN(TRIM(F369))=0,"Approved","Comment to address")</f>
        <v/>
      </c>
      <c r="B369" s="12" t="inlineStr">
        <is>
          <t>Psalm 95</t>
        </is>
      </c>
      <c r="C369" s="12" t="inlineStr">
        <is>
          <t>shabbat</t>
        </is>
      </c>
      <c r="D369" s="12" t="inlineStr">
        <is>
          <t>Nusach Sefard</t>
        </is>
      </c>
      <c r="E369" s="13" t="inlineStr">
        <is>
          <t>לְכוּ נְרַנְּנָה לַיהֹוָה
נָרִֽיעָה
לְצוּר יִשְׁעֵֽנוּ:
נְקַדְּמָה פָנָיו
בְּתוֹדָה
בִּזְמִרוֹת נָרִֽיעַ לוֹ:
כִּי אֵל גָּדוֹל יְהֹוָה
וּמֶֽלֶךְ גָּדוֹל עַל־כָּל־אֱלֹהִים:
אֲשֶׁר בְּיָדוֹ מֶחְקְרֵי־אָֽרֶץ
וְתוֹעֲפוֹת הָרִים לוֹ:
אֲשֶׁר־לוֹ הַיָּם וְהוּא עָשָֽׂהוּ
וְיַבֶּֽשֶׁת יָדָיו יָצָֽרוּ:
בֹּֽאוּ נִשְׁתַּחֲוֶה וְנִכְרָֽעָה
נִבְרְכָה
לִפְנֵי־יְהֹוָה עֹשֵֽׂנוּ:
כִּי הוּא אֱלֹהֵֽינוּ
וַאֲנַֽחְנוּ עַם מַרְעִיתוֹ
וְצֹאן יָדוֹ
הַיּוֹם אִם־בְּקֹלוֹ תִשְׁמָֽעוּ:
אַל־תַּקְשׁוּ לְבַבְכֶם כִּמְרִיבָה
כְּיוֹם מַסָּה בַּמִּדְבָּר:
אֲשֶׁר נִסּֽוּנִי אֲבוֹתֵיכֶם
בְּחָנֽוּנִי
גַּם־רָאוּ פָעֳלִי:
אַרְבָּעִים שָׁנָה אָקוּט בְּדוֹר
וָאֹמַר
עַם תֹּעֵי לֵבָב הֵם
וְהֵם לֹא־יָדְעוּ דְרָכָי:
אֲשֶׁר־נִשְׁבַּֽעְתִּי בְאַפִּי
אִם־יְבֹאוּן אֶל־מְנוּחָתִי:</t>
        </is>
      </c>
      <c r="F369" s="10" t="inlineStr"/>
      <c r="G369" s="14" t="inlineStr">
        <is>
          <t>Shabbat Siddur Sefard Linear, Kabbalas Shabbos, Psalm 95</t>
        </is>
      </c>
      <c r="H369" s="12" t="inlineStr">
        <is>
          <t>The Metsudah Siddur, Metsudah Publications, 1981 - HE — CC-BY</t>
        </is>
      </c>
      <c r="I369" s="12" t="inlineStr">
        <is>
          <t>sefaria-shabbat-siddur-sefard-linear-kabbalas-shabbos-psalm-95</t>
        </is>
      </c>
    </row>
    <row r="370" ht="409" customHeight="1">
      <c r="A370" s="7">
        <f>IF(LEN(TRIM(F370))=0,"Approved","Comment to address")</f>
        <v/>
      </c>
      <c r="B370" s="8" t="inlineStr">
        <is>
          <t>Psalm 96</t>
        </is>
      </c>
      <c r="C370" s="8" t="inlineStr">
        <is>
          <t>shabbat</t>
        </is>
      </c>
      <c r="D370" s="8" t="inlineStr">
        <is>
          <t>Nusach Sefard</t>
        </is>
      </c>
      <c r="E370" s="9" t="inlineStr">
        <is>
          <t>שִֽׁירוּ לַיהֹוָה שִׁיר חָדָשׁ
שִֽׁירוּ לַיהֹוָה
כָּל־הָאָֽרֶץ:
שִֽׁירוּ לַיהֹוָה בָּרְכוּ שְׁמוֹ
בַּשְּׂרוּ מִיּוֹם־לְיוֹם יְשׁוּעָתוֹ:
סַפְּרוּ בַגּוֹיִם כְּבוֹדוֹ
בְּכָל־הָעַמִּים נִפְלְאוֹתָיו:
כִּי גָדוֹל יְהֹוָה וּמְהֻלָּל מְאֹד
נוֹרָא הוּא עַל־כָּל־אֱלֹהִים:
כִּי כָּל־אֱלֹהֵי הָעַמִּים
אֱלִילִים
וַיהֹוָה שָׁמַֽיִם עָשָׂה:
הוֹד־וְהָדָר לְפָנָיו
עֹז וְתִפְאֶֽרֶת בְּמִקְדָּשׁוֹ:
הָבוּ לַיהֹוָה מִשְׁפְּחוֹת עַמִּים
הָבוּ לַיהֹוָה כָּבוֹד וָעֹז:
הָבוּ לַיהֹוָה כְּבוֹד שְׁמוֹ
שְׂאוּ־מִנְחָה
וּבֹֽאוּ לְחַצְרוֹתָיו:
הִשְׁתַּחֲווּ לַיהֹוָה
בְּהַדְרַת־קֹֽדֶשׁ
חִֽילוּ מִפָּנָיו
כָּל־הָאָֽרֶץ:
אִמְרוּ בַגּוֹיִם
יְהֹוָה מָלָךְ
אַף־תִּכּוֹן תֵּבֵל
בַּל־תִּמּוֹט
יָדִין עַמִּים בְּמֵישָׁרִים:
יִשְׂמְחוּ הַשָּׁמַֽיִם
וְתָגֵל הָאָֽרֶץ
יִרְעַם הַיָּם וּמְלֹאוֹ:
יַעֲלֹז שָׂדַי וְכָל־אֲשֶׁר־בּוֹ
אָז
יְרַנְּנוּ כָּל־עֲצֵי־יָֽעַר:
לִפְנֵי יְהֹוָה כִּי בָא
כִּי בָא לִשְׁפֹּט הָאָֽרֶץ
יִשְׁפֹּט־תֵּבֵל בְּצֶֽדֶק
וְעַמִּים בֶּאֱמוּנָתוֹ:</t>
        </is>
      </c>
      <c r="F370" s="10" t="inlineStr"/>
      <c r="G370" s="11" t="inlineStr">
        <is>
          <t>Shabbat Siddur Sefard Linear, Kabbalas Shabbos, Psalm 96</t>
        </is>
      </c>
      <c r="H370" s="8" t="inlineStr">
        <is>
          <t>The Metsudah Siddur, Metsudah Publications, 1981 - HE — CC-BY</t>
        </is>
      </c>
      <c r="I370" s="8" t="inlineStr">
        <is>
          <t>sefaria-shabbat-siddur-sefard-linear-kabbalas-shabbos-psalm-96</t>
        </is>
      </c>
    </row>
    <row r="371" ht="409" customHeight="1">
      <c r="A371" s="7">
        <f>IF(LEN(TRIM(F371))=0,"Approved","Comment to address")</f>
        <v/>
      </c>
      <c r="B371" s="12" t="inlineStr">
        <is>
          <t>Psalm 97</t>
        </is>
      </c>
      <c r="C371" s="12" t="inlineStr">
        <is>
          <t>shabbat</t>
        </is>
      </c>
      <c r="D371" s="12" t="inlineStr">
        <is>
          <t>Nusach Sefard</t>
        </is>
      </c>
      <c r="E371" s="13" t="inlineStr">
        <is>
          <t>יְהֹוָה
מָלָךְ
תָּגֵל הָאָֽרֶץ
יִשְׂמְחוּ אִיִּים רַבִּים:
עָנָן וַעֲרָפֶל סְבִיבָיו
צֶֽדֶק וּמִשְׁפָּט
מְכוֹן כִּסְאוֹ:
אֵשׁ לְפָנָיו תֵּלֵךְ
וּתְלַהֵט סָבִיב צָרָיו:
הֵאִֽירוּ בְרָקָיו
תֵּבֵל
רָאֲתָה וַתָּחֵל הָאָֽרֶץ:
הָרִים כַּדּוֹנַג נָמַֽסּוּ
מִלִּפְנֵי יְהֹוָה
מִלִּפְנֵי אֲדוֹן כָּל־הָאָֽרֶץ:
הִגִּֽידוּ הַשָּׁמַֽיִם צִדְקוֹ
וְרָאוּ כָל־הָעַמִּים כְּבוֹדוֹ:
יֵבֽשׁוּ
כָּל־עֹֽבְדֵי פֶֽסֶל
הַמִּתְהַלְלִים בָּאֱלִילִים
הִשְׁתַּחֲווּ־לוֹ כָּל־אֱלֹהִים:
שָׁמְעָה וַתִּשְׂמַח צִיּוֹן
וַתָּגֵֽלְנָה בְּנוֹת יְהוּדָה
לְמַֽעַן מִשְׁפָּטֶֽיךָ יְהֹוָה:
כִּי־אַתָּה יְהֹוָה עֶלְיוֹן
עַל־כָּל־הָאָֽרֶץ
מְאֹד נַעֲלֵֽיתָ עַל־כָּל־אֱלֹהִים:
אֹהֲבֵי יְהֹוָה שִׂנְאוּ רָע
שֹׁמֵר נַפְשׁוֹת חֲסִידָיו
מִיַּד רְשָׁעִים יַצִּילֵם:
אוֹר זָרֻֽעַ לַצַּדִּיק
וּלְיִשְׁרֵי־לֵב שִׂמְחָה:
שִׂמְחוּ צַדִּיקִים בַּיהֹוָה
וְהוֹדוּ לְזֵֽכֶר קָדְשׁוֹ:</t>
        </is>
      </c>
      <c r="F371" s="10" t="inlineStr"/>
      <c r="G371" s="14" t="inlineStr">
        <is>
          <t>Shabbat Siddur Sefard Linear, Kabbalas Shabbos, Psalm 97</t>
        </is>
      </c>
      <c r="H371" s="12" t="inlineStr">
        <is>
          <t>The Metsudah Siddur, Metsudah Publications, 1981 - HE — CC-BY</t>
        </is>
      </c>
      <c r="I371" s="12" t="inlineStr">
        <is>
          <t>sefaria-shabbat-siddur-sefard-linear-kabbalas-shabbos-psalm-97</t>
        </is>
      </c>
    </row>
    <row r="372" ht="409" customHeight="1">
      <c r="A372" s="7">
        <f>IF(LEN(TRIM(F372))=0,"Approved","Comment to address")</f>
        <v/>
      </c>
      <c r="B372" s="8" t="inlineStr">
        <is>
          <t>Psalm 98</t>
        </is>
      </c>
      <c r="C372" s="8" t="inlineStr">
        <is>
          <t>shabbat</t>
        </is>
      </c>
      <c r="D372" s="8" t="inlineStr">
        <is>
          <t>Nusach Sefard</t>
        </is>
      </c>
      <c r="E372" s="9" t="inlineStr">
        <is>
          <t>מִזְמוֹר
שִֽׁירוּ לַיהֹוָה שִׁיר חָדָשׁ
כִּי־נִפְלָאוֹת עָשָׂה
הוֹשִֽׁיעָה־לּוֹ יְמִינוֹ
וּזְרֽוֹעַ קָדְשׁוֹ:
הוֹדִֽיעַ יְהֹוָה יְשׁוּעָתוֹ
לְעֵינֵי הַגּוֹיִם
גִּלָּה צִדְקָתוֹ:
זָכַר חַסְדּוֹ
וֶאֱמוּנָתוֹ
לְבֵית יִשְׂרָאֵל
רָאוּ כָל־אַפְסֵי־אָֽרֶץ
אֵת יְשׁוּעַת אֱלֹהֵֽינוּ:
הָרִֽיעוּ לַיהֹוָה
כָּל־הָאָֽרֶץ
פִּצְחוּ
וְרַנְּנוּ וְזַמֵּֽרוּ:
זַמְּרוּ לַיהֹוָה בְּכִנּוֹר
בְּכִנּוֹר וְקוֹל זִמְרָה:
בַּחֲצֹצְרוֹת וְקוֹל שׁוֹפָר
הָרִֽיעוּ לִפְנֵי הַמֶּֽלֶךְ יְהֹוָה:
יִרְעַם הַיָּם וּמְלֹאוֹ
תֵּבֵל
וְיֽשְׁבֵי בָהּ:
נְהָרוֹת יִמְחֲאוּ־כָף
יַֽחַד הָרִים יְרַנֵּֽנוּ:
לִפְנֵי־יְהֹוָה
כִּי בָא לִשְׁפֹּט הָאָֽרֶץ
יִשְׁפֹּט־תֵּבֵל בְּצֶֽדֶק
וְעַמִּים בְּמֵישָׁרִים:</t>
        </is>
      </c>
      <c r="F372" s="10" t="inlineStr"/>
      <c r="G372" s="11" t="inlineStr">
        <is>
          <t>Shabbat Siddur Sefard Linear, Kabbalas Shabbos, Psalm 98</t>
        </is>
      </c>
      <c r="H372" s="8" t="inlineStr">
        <is>
          <t>The Metsudah Siddur, Metsudah Publications, 1981 - HE — CC-BY</t>
        </is>
      </c>
      <c r="I372" s="8" t="inlineStr">
        <is>
          <t>sefaria-shabbat-siddur-sefard-linear-kabbalas-shabbos-psalm-98</t>
        </is>
      </c>
    </row>
    <row r="373" ht="409" customHeight="1">
      <c r="A373" s="7">
        <f>IF(LEN(TRIM(F373))=0,"Approved","Comment to address")</f>
        <v/>
      </c>
      <c r="B373" s="12" t="inlineStr">
        <is>
          <t>Psalm 29</t>
        </is>
      </c>
      <c r="C373" s="12" t="inlineStr">
        <is>
          <t>shabbat</t>
        </is>
      </c>
      <c r="D373" s="12" t="inlineStr">
        <is>
          <t>Nusach Sefard</t>
        </is>
      </c>
      <c r="E373" s="13" t="inlineStr">
        <is>
          <t>מִזְמוֹר לְדָוִד
הָבוּ לַיהֹוָה
בְּנֵי אֵלִים
הָבוּ לַיהֹוָה כָּבוֹד וָעֹז:
הָבוּ לַיהֹוָה כְּבוֹד שְׁמוֹ
הִשְׁתַּחֲווּ לַיהֹוָה
בְּהַדְרַת־קֹֽדֶשׁ:
קוֹל יְהֹוָה עַל־הַמָּֽיִם
אֵל־הַכָּבוֹד הִרְעִים
יְהֹוָה עַל־מַֽיִם רַבִּים:
קוֹל־יְהֹוָה בַּכֹּֽחַ
קוֹל יְהֹוָה בֶּהָדָר:
קוֹל יְהֹוָה שֹׁבֵר אֲרָזִים
וַיְשַׁבֵּר יְהֹוָה
אֶת־אַרְזֵי הַלְּבָנוֹן:
וַיַּרְקִידֵם כְּמוֹ־עֵֽגֶל
לְבָנוֹן וְשִׂרְיוֹן כְּמוֹ בֶן־רְאֵמִים:
קוֹל־יְהֹוָה
חֹצֵב לַהֲבוֹת אֵשׁ:
קוֹל יְהֹוָה
יָחִיל מִדְבָּר
יָחִיל יְהֹוָה מִדְבַּר קָדֵשׁ:
קוֹל יְהֹוָה יְחוֹלֵל אַיָּלוֹת
וַיֶּחֱשׂף יְעָרוֹת
וּבְהֵיכָלוֹ
כֻּלּוֹ טֹמֵר כָּבוֹד:
יְהֹוָה לַמַּבּוּל יָשָׁב
וַיֵּֽשֶׁב יְהֹוָה מֶֽלֶךְ לְעוֹלָם:
יְהֹוָה עֹז לְעַמּוֹ יִתֵּן
יְהֹוָה יְבָרֵךְ אֶת־עַמּוֹ בַשָּׁלוֹם:
אָֽנָּא, בְּכֹֽחַ
גְּדֻלַּת יְמִינְ֒ךָ
תַּתִּיר צְרוּרָה:
קַבֵּל רִנַּת עַמְּ֒ךָ
שַׂגְּ֒בֵֽנוּ טַהֲרֵֽנוּ נוֹרָא:
נָא גִבּוֹר
דּוֹרְ֒שֵׁי יִחוּדְ֒ךָ
כְּבָבַת שָׁמְ֒רֵם:
בָּרְ֒כֵם טַהֲרֵם
רַחֲמֵי
צִדְ֒קָתְ֒ךָ
תָּמִיד גָּמְ֒לֵם:
חֲסִין קָדוֹשׁ
בְּרֹב טוּבְ֒ךָ
נַהֵל עֲדָתֶֽךָ:
יָחִיד גֵּאֶה לְעַמְּ֒ךָ פְּנֵה,
זוֹכְ֒רֵי קְדֻשָּׁתֶֽךָ:
שַׁוְעָתֵֽנוּ קַבֵּל וּשְׁ֒מַע צַעֲקָתֵֽנוּ
יוֹדֵֽעַ תַּעֲלוּמוֹת:
בָּרוּךְ שֵׁם
כְּבוֹד מַלְ֒כוּתוֹ
לְעוֹלָם וָעֶד:</t>
        </is>
      </c>
      <c r="F373" s="10" t="inlineStr"/>
      <c r="G373" s="14" t="inlineStr">
        <is>
          <t>Shabbat Siddur Sefard Linear, Kabbalas Shabbos, Psalm 29</t>
        </is>
      </c>
      <c r="H373" s="12" t="inlineStr">
        <is>
          <t>The Metsudah Siddur, Metsudah Publications, 1981 - HE — CC-BY</t>
        </is>
      </c>
      <c r="I373" s="12" t="inlineStr">
        <is>
          <t>sefaria-shabbat-siddur-sefard-linear-kabbalas-shabbos-psalm-29</t>
        </is>
      </c>
    </row>
    <row r="374" ht="409" customHeight="1">
      <c r="A374" s="7">
        <f>IF(LEN(TRIM(F374))=0,"Approved","Comment to address")</f>
        <v/>
      </c>
      <c r="B374" s="8" t="inlineStr">
        <is>
          <t>Psalm 92</t>
        </is>
      </c>
      <c r="C374" s="8" t="inlineStr">
        <is>
          <t>shabbat</t>
        </is>
      </c>
      <c r="D374" s="8" t="inlineStr">
        <is>
          <t>Nusach Sefard</t>
        </is>
      </c>
      <c r="E374" s="9" t="inlineStr">
        <is>
          <t>מִזְמוֹר שִׁיר לְיוֹם הַשַּׁבָּת:
טוֹב לְהֹדוֹת לַיהֹוָה
וּלְזַמֵּר לְשִׁמְךָ עֶלְיוֹן:
לְהַגִּיד בַּבֹּֽקֶר חַסְדֶּֽךָ
וֶאֱמוּנָתְךָ בַּלֵּילוֹת:
עֲלֵי־עָשׂוֹר וַעֲלֵי־נָֽבֶל
עֲלֵי הִגָּיוֹן בְּכִנּוֹר:
כִּי שִׂמַּחְתַּֽנִי יְהֹוָה
בְּפָעֳלֶֽךָ
בְּמַעֲשֵׂי יָדֶֽיךָ אֲרַנֵּן:
מַה־גָּדְלוּ מַעֲשֶֽׂיךָ יְהֹוָה
מְאֹד עָמְקוּ מַחְשְׁבֹתֶֽיךָ:
אִישׁ־בַּֽעַר לֹא יֵדָע
וּכְסִיל לֹא־יָבִין אֶת־זֹאת:
בִּפְרֹֽחַ רְשָׁעִים כְּמוֹ עֵֽשֶׂב
וַיָּצִֽיצוּ כָּל־פֹּֽעֲלֵי אָֽוֶן
לְהִשָּׁמְדָם עֲדֵי־עַד:
וְאַתָּה מָרוֹם לְעֹלָם
יְהֹוָה:
כִּי הִנֵּה אֹיְבֶֽיךָ יְהֹוָה
כִּי־הִנֵּה אֹיְבֶֽיךָ יֹאבֵֽדוּ
יִתְפָּרְדוּ כָּל־פֹּֽעֲלֵי אָֽוֶן:
וַתָּֽרֶם כִּרְאֵים קַרְנִי
בַּלֹּתִי בְּשֶֽׁמֶן רַעֲנָן:
וַתַּבֵּט עֵינִי
בְּשׁוּרָי
בַּקָּמִים עָלַי מְרֵעִים
תִּשְׁמַֽעְנָה אָזְנָי:
צַדִּיק כַּתָּמָר יִפְרָח
כְּאֶֽרֶז בַּלְּבָנוֹן יִשְׂגֶּה:
שְׁתוּלִים בְּבֵית יְהֹוָה
בְּחַצְרוֹת אֱלֹהֵֽינוּ
יַפְרִֽיחוּ:
עוֹד יְנוּבוּן בְּשֵׂיבָה
דְּשֵׁנִים וְרַעֲנַנִּים יִהְיוּ:
לְהַגִּיד כִּי־יָשָׁר יְהֹוָה
צוּרִי
וְלֹא־עַוְלָֽתָה בּוֹ:</t>
        </is>
      </c>
      <c r="F374" s="10" t="inlineStr"/>
      <c r="G374" s="11" t="inlineStr">
        <is>
          <t>Shabbat Siddur Sefard Linear, Kabbalas Shabbos, Psalm 92</t>
        </is>
      </c>
      <c r="H374" s="8" t="inlineStr">
        <is>
          <t>The Metsudah Siddur, Metsudah Publications, 1981 - HE — CC-BY</t>
        </is>
      </c>
      <c r="I374" s="8" t="inlineStr">
        <is>
          <t>sefaria-shabbat-siddur-sefard-linear-kabbalas-shabbos-psalm-92</t>
        </is>
      </c>
    </row>
    <row r="375" ht="301" customHeight="1">
      <c r="A375" s="7">
        <f>IF(LEN(TRIM(F375))=0,"Approved","Comment to address")</f>
        <v/>
      </c>
      <c r="B375" s="12" t="inlineStr">
        <is>
          <t>Psalm 93</t>
        </is>
      </c>
      <c r="C375" s="12" t="inlineStr">
        <is>
          <t>shabbat</t>
        </is>
      </c>
      <c r="D375" s="12" t="inlineStr">
        <is>
          <t>Nusach Sefard</t>
        </is>
      </c>
      <c r="E375" s="13" t="inlineStr">
        <is>
          <t>יְהֹוָה מָלָךְ
גֵּאוּת לָבֵשׁ
לָבֵשׁ יְהֹוָה
עֹז הִתְאַזָּר
אַף־תִּכּוֹן תֵּבֵל
בַּל־תִּמּוֹט:
נָכוֹן כִּסְאֲךָ מֵאָז
מֵעוֹלָם אָֽתָּה:
נָשְׂאוּ נְהָרוֹת יְהֹוָה
נָשְׂאוּ נְהָרוֹת קוֹלָם
יִשְׂאוּ נְהָרוֹת דָּכְיָם:
מִקֹּלוֹת מַֽיִם רַבִּים
אַדִּירִים מִשְׁבְּרֵי־יָם
אַדִּיר בַּמָּרוֹם יְהֹוָה:
עֵדֹתֶֽיךָ נֶאֶמְנוּ מְאֹד
לְבֵיתְךָ נָֽאֲוָה־קֹּֽדֶשׁ
יְהֹוָה לְאֹֽרֶךְ יָמִים:</t>
        </is>
      </c>
      <c r="F375" s="10" t="inlineStr"/>
      <c r="G375" s="14" t="inlineStr">
        <is>
          <t>Shabbat Siddur Sefard Linear, Kabbalas Shabbos, Psalm 93</t>
        </is>
      </c>
      <c r="H375" s="12" t="inlineStr">
        <is>
          <t>The Metsudah Siddur, Metsudah Publications, 1981 - HE — CC-BY</t>
        </is>
      </c>
      <c r="I375" s="12" t="inlineStr">
        <is>
          <t>sefaria-shabbat-siddur-sefard-linear-kabbalas-shabbos-psalm-93</t>
        </is>
      </c>
    </row>
    <row r="376" ht="409" customHeight="1">
      <c r="A376" s="7">
        <f>IF(LEN(TRIM(F376))=0,"Approved","Comment to address")</f>
        <v/>
      </c>
      <c r="B376" s="8" t="inlineStr">
        <is>
          <t>Aleinu</t>
        </is>
      </c>
      <c r="C376" s="8" t="inlineStr">
        <is>
          <t>shabbat</t>
        </is>
      </c>
      <c r="D376" s="8" t="inlineStr">
        <is>
          <t>Nusach Sefard</t>
        </is>
      </c>
      <c r="E376" s="9"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t>
        </is>
      </c>
      <c r="F376" s="10" t="inlineStr"/>
      <c r="G376" s="11" t="inlineStr">
        <is>
          <t>Shabbat Siddur Sefard Linear, Maariv Service for Shabbos and Yom Tov, Aleinu</t>
        </is>
      </c>
      <c r="H376" s="8" t="inlineStr">
        <is>
          <t>The Metsudah Siddur, Metsudah Publications, 1981 - HE — CC-BY</t>
        </is>
      </c>
      <c r="I376" s="8" t="inlineStr">
        <is>
          <t>sefaria-shabbat-siddur-sefard-linear-maariv-service-for-shabbos-and-yom-tov-aleinu</t>
        </is>
      </c>
    </row>
    <row r="377" ht="409" customHeight="1">
      <c r="A377" s="7">
        <f>IF(LEN(TRIM(F377))=0,"Approved","Comment to address")</f>
        <v/>
      </c>
      <c r="B377" s="12" t="inlineStr">
        <is>
          <t>Kol Mekadesh</t>
        </is>
      </c>
      <c r="C377" s="12" t="inlineStr">
        <is>
          <t>shabbat</t>
        </is>
      </c>
      <c r="D377" s="12" t="inlineStr">
        <is>
          <t>Nusach Sefard</t>
        </is>
      </c>
      <c r="E377" s="13" t="inlineStr">
        <is>
          <t>כָּל מְקַדֵּשׁ שְׁבִיעִי
כָּרָאוּי לוֹ.
כָּל שׁוֹמֵר שַׁבָּת כַּדָּת
מֵחַלְלוֹ.
שְׂכָרוֹ הַרְבֵּה מְאֹד
עַל פִּי פָעֳלוֹ.
אִישׁ עַל מַחֲנֵֽהוּ
וְאִישׁ עַל דִגְלוֹ.
אוֹהֲבֵי יְהֹוָה הַמְחַכִּים
בְּבִנְיַן אֲרִיאֵל.
בְּיוֹם הַשַּׁבָּת שִֽׂישׂוּ וְשִׂמְחוּ
כִּמְקַבְּ֒לֵי מַתַּן נַחֲלִיאֵל.
גַּם שְׂאוּ יְדֵיכֶם קֹֽדֶשׁ
וְאִמְרוּ לָאֵל.
בָּרוּךְ יְהֹוָה
אֲשֶׁר נָתַן מְנוּחָה
לְעַמּוֹ יִשְׂרָאֵל.
דּוֹרְ֒שֵׁי יְהֹוָה
זֶֽרַע אַבְרָהָם אוֹהֲבוֹ.
הַמְאַחֲרִים לָצֵאת מִן הַשַּׁבָּת
וּמְמַהֲרִים לָבֹא.
שְׂמֵחִים לְשָׁמְרוֹ
וּלְעָרֵב עֵרוּבוֹ.
זֶה הַיּוֹם עָשָׂה יְהֹוָה
נָגִֽילָה וְנִשְׂמְ֒חָה בוֹ.
זִכְרוּ תּוֹרַת משֶׁה
בְּמִצְוַת שַׁבָּת גְּרוּסָה.
חֲרוּתָה לַיּוֹם הַשְּׁ֒בִיעִי
כְּכַלָּה בֵּין רֵעוֹתֶֽיהָ מְשֻׁבָּצָה.
טְהוֹרִים יִירָשֽׁוּהָ וִיקַדְּ֒שֽׁוּהָ
בְּמַאֲמַר כָּל אֲשֶׁר עָשָׂה.
וַיְכַל אֱלֹהִים בַּיּוֹם הַשְּׁ֒בִיעִי
מְלַאכְתּוֹ אֲשֶׁר עָשָׂה.
יוֹם קָדוֹשׁ הוּא
מִבֹּאוֹ וְעַד צֵאתוֹ.
כָּל זֶֽרַע יַעֲקֹב יְכַבְּ֒דֽוּהוּ
כִּדְבַר הַמֶּֽלֶךְ וְדָתוֹ.
לָנֽוּחַ בּוֹ וְלִשְׂמֹֽחַ
בְּתַעֲנוּג אָכוֹל וְשָׁתוֹ.
כָּל עֲדַת יִשְׂרָאֵל
יַעֲשׂוּ אוֹתוֹ.
מְשֹׁךְ חַסְדְּ֒ךָ
לְיוֹדְ֒עֶֽיךָ
אֵל קַנֹּא וְנוֹקֵם.
נוֹטְ֒רֵי לַיּוֹם הַשְּׁ֒בִיעִי
זָכוֹר וְשָׁמוֹר לְהָקֵם.
שַׂמְּ֒חֵם בְּבִנְיַן שָׁלֵם
בְּאוֹר פָּנֶֽיךָ
תַּבְהִיקֵם.
יִרְוְיֻן
מִדֶּֽשֶׁן בֵּיתֶֽךָ
וְנַֽחַל עֲדָנֶֽיךָ
תַשְׁקֵם.
עֲזֹר לַשּׁוֹבְ֒תִים בַּשְּׁ֒בִיעִי
בֶּחָרִישׁ וּבַקָּצִיר
עוֹלָמִים.
פּוֹסְ֒עִים בּוֹ פְּסִיעָה קְטַנָּה
סוֹעֲדִים בּוֹ
לְבָרֵךְ שָׁלשׁ פְּעָמִים.
צִדְקָתָם תַּצְהִיר
כְּאוֹר שִׁבְעַת הַיָּמִים.
יְהֹוָה אֱלֹהֵי יִשְׂרָאֵל
אַהֲבַת תָּמִים.
יְהֹוָה אֱלֹהֵי יִשְׂרָאֵל
תְּשׁוּעַת עוֹלָמִים:</t>
        </is>
      </c>
      <c r="F377" s="10" t="inlineStr"/>
      <c r="G377" s="14" t="inlineStr">
        <is>
          <t>Shabbat Siddur Sefard Linear, Songs for Shabbos Eve, Kol Mekadesh</t>
        </is>
      </c>
      <c r="H377" s="12" t="inlineStr">
        <is>
          <t>The Metsudah Siddur, Metsudah Publications, 1981 - HE — CC-BY</t>
        </is>
      </c>
      <c r="I377" s="12" t="inlineStr">
        <is>
          <t>sefaria-shabbat-siddur-sefard-linear-songs-for-shabbos-eve-kol-mekadesh</t>
        </is>
      </c>
    </row>
    <row r="378" ht="409" customHeight="1">
      <c r="A378" s="7">
        <f>IF(LEN(TRIM(F378))=0,"Approved","Comment to address")</f>
        <v/>
      </c>
      <c r="B378" s="8" t="inlineStr">
        <is>
          <t>The Seven Marriage Blessings</t>
        </is>
      </c>
      <c r="C378" s="8" t="inlineStr">
        <is>
          <t>shabbat</t>
        </is>
      </c>
      <c r="D378" s="8" t="inlineStr">
        <is>
          <t>Nusach Sefard</t>
        </is>
      </c>
      <c r="E378" s="9" t="inlineStr">
        <is>
          <t>בָּרוּךְ אַתָּה יְהֹוָה
אֱלֹהֵֽינוּ מֶֽלֶךְ הָעוֹלָם,
שֶׁהַכֹּל בָּרָא לִכְבוֹדוֹ:
בָּרוּךְ אַתָּה יְהֹוָה
אֱלֹהֵֽינוּ מֶֽלֶךְ הָעוֹלָם,
יוֹצֵר הָאָדָם:
בָּרוּךְ אַתָּה יְהֹוָה
אֱלֹהֵֽינוּ מֶֽלֶךְ הָעוֹלָם,
אֲשֶׁר יָצַר אֶת הָאָדָם בְּצַלְמוֹ,
בְּצֶּֽלֶם דְּמוּת תַּבְנִיתוֹ,
וְהִתְקִין לוֹ מִמֶּֽנּוּ
בִּנְיַן עֲדֵי עַד.
בָּרוּךְ אַתָּה יְהֹוָה,
יוֹצֵר הָאָדָם:
שׂוֹשׂ תָּשִׂישׂ וְתָגֵל הָעֲקָרָה,
בְּקִבּוּץ בָּנֶֽיהָ
לְתוֹכָהּ בְּשִׂמְחָה.
בָּרוּךְ אַתָּה יְהֹוָה,
מְשַׂמֵּֽחַ צִיּוֹן בְּבָנֶֽיהָ:
שַׂמֵּֽחַ תְּשַׂמַּח
רֵעִים הָאֲהוּבִים,
כְּשַׂמֵּחֲךָ יְצִירְךָ
בְּגַן עֵֽדֶן מִקֶּֽדֶם.
בָּרוּךְ אַתָּה יְהֹוָה,
מְשַׂמֵּֽחַ חָתָן וְכַלָּה:
בָּרוּךְ אַתָּה יְהֹוָה
אֱלֹהֵֽינוּ מֶלֶךְ הָעוֹלָם,
אֲשֶׁר בָּרָא שָׂשׂוֹן וְשִׂמְחָה,
חָתָן וְכַלָּה, גִּילָה רִנָּה,
דִּיצָה וְחֶדְוָה, אַהֲבָה וְאַחֲוָה,
וְשָׁלוֹם וְרֵעוּת.
מְהֵרָה יְהֹוָה אֱלֹהֵֽינוּ יִשָּׁמַע
בְּעָרֵי יְהוּדָה
וּבְחוּצוֹת יְרוּשָׁלָֽיִם,
קוֹל שָׂשׂוֹן, וְקוֹל שִׂמְחָה,
קוֹל חָתָן
וְקוֹל כַּלָּה,
קוֹל מִצְהֲלוֹת חֲתָנִים
מֵחֻפָּתָם,
וּנְעָרִים מִמִּשְׁתֵּה נְגִינָתָם.
בָּרוּךְ אַתָּה יְהֹוָה,
מְשַׂמֵּֽחַ חָתָן עִם הַכַּלָּה:
בָּרוּךְ אַתָּה יְהֹוָה
אֱלֹהֵֽינוּ מֶֽלֶךְ הָעוֹלָם,
בּוֹרֵא פְּרִי הַגָּֽפֶן:</t>
        </is>
      </c>
      <c r="F378" s="10" t="inlineStr"/>
      <c r="G378" s="11" t="inlineStr">
        <is>
          <t>Shabbat Siddur Sefard Linear, Birchas Hamazon, The Seven Marriage Blessings</t>
        </is>
      </c>
      <c r="H378" s="8" t="inlineStr">
        <is>
          <t>The Metsudah Siddur, Metsudah Publications, 1981 - HE — CC-BY</t>
        </is>
      </c>
      <c r="I378" s="8" t="inlineStr">
        <is>
          <t>sefaria-shabbat-siddur-sefard-linear-birchas-hamazon-the-seven-marriage-blessings</t>
        </is>
      </c>
    </row>
    <row r="379" ht="409" customHeight="1">
      <c r="A379" s="7">
        <f>IF(LEN(TRIM(F379))=0,"Approved","Comment to address")</f>
        <v/>
      </c>
      <c r="B379" s="12" t="inlineStr">
        <is>
          <t>Blessings Upon Arising</t>
        </is>
      </c>
      <c r="C379" s="12" t="inlineStr">
        <is>
          <t>shabbat</t>
        </is>
      </c>
      <c r="D379" s="12" t="inlineStr">
        <is>
          <t>Nusach Sefard</t>
        </is>
      </c>
      <c r="E379" s="13" t="inlineStr">
        <is>
          <t>בָּרוּךְ אַתָּה יְהֹוָה
אֱלֹהֵֽינוּ מֶֽלֶךְ הָעוֹלָם
אֲשֶׁר קִדְּ֒שָֽׁנוּ בְּמִצְוֹתָיו
וְצִוָּֽנוּ
עַל נְטִילַת יָדָֽיִם:
בָּרוּךְ אַתָּה יְהֹוָה
אֱלֹהֵֽינוּ מֶֽלֶךְ הָעוֹלָם
אֲשֶׁר יָצַר אֶת 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 בָּשָׂר
וּמַפְלִיא לַעֲשׂוֹת:
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379" s="10" t="inlineStr"/>
      <c r="G379" s="14" t="inlineStr">
        <is>
          <t>Shabbat Siddur Sefard Linear, The Morning Prayers, Blessings Upon Arising</t>
        </is>
      </c>
      <c r="H379" s="12" t="inlineStr">
        <is>
          <t>The Metsudah Siddur, Metsudah Publications, 1981 - HE — CC-BY</t>
        </is>
      </c>
      <c r="I379" s="12" t="inlineStr">
        <is>
          <t>sefaria-shabbat-siddur-sefard-linear-the-morning-prayers-blessings-upon-arising</t>
        </is>
      </c>
    </row>
    <row r="380" ht="409" customHeight="1">
      <c r="A380" s="7">
        <f>IF(LEN(TRIM(F380))=0,"Approved","Comment to address")</f>
        <v/>
      </c>
      <c r="B380" s="8" t="inlineStr">
        <is>
          <t>Blessings of the Torah</t>
        </is>
      </c>
      <c r="C380" s="8" t="inlineStr">
        <is>
          <t>shabbat</t>
        </is>
      </c>
      <c r="D380" s="8" t="inlineStr">
        <is>
          <t>Nusach Sefard</t>
        </is>
      </c>
      <c r="E380" s="9" t="inlineStr">
        <is>
          <t>בָּרוּךְ אַתָּה יְהֹוָה
אֱלֹהֵֽינוּ מֶֽלֶךְ הָעוֹלָם
אֲשֶׁר קִדְּ֒שָֽׁנוּ בְּמִצְוֹתָיו
וְצִוָּֽנוּ
לַעֲסֹק בְּדִבְ֒רֵי תוֹרָה:
וְהַעֲרֶב נָא יְהֹוָה אֱלֹהֵֽינוּ
אֶת דִּבְ֒רֵי תוֹרָתְ֒ךָ בְּפִֽינוּ
וּבְ֒פִי עַמְּ֒ךָ בֵּית יִשְׂרָאֵל
וְנִהְיֶה אֲנַֽחְנוּ וְצֶאֱצָאֵֽינוּ
וְצֶאֱצָאֵי עַמְּ֒ךָ
בֵּית יִשְׂרָאֵל
כֻּלָּֽנוּ יוֹדְ֒עֵי שְׁמֶֽךָ
וְלוֹמְ֒דֵי תוֹרָתֶֽךָ לִשְׁ֒מָהּ:
בָּרוּךְ אַתָּה יְהֹוָה
הַמְ֒לַמֵּד תּוֹרָה לְעַמּוֹ יִשְׂרָאֵל:
בָּרוּךְ אַתָּה יְהֹוָה
אֱלֹהֵֽינוּ מֶֽלֶךְ הָעוֹלָם
אֲשֶׁר בָּֽחַר בָּֽנוּ מִכָּל הָעַמִּים
וְנָֽתַן לָֽנוּ אֶת תּוֹרָתוֹ:
בָּרוּךְ אַתָּה יְהֹוָה
נוֹתֵן הַתּוֹרָה:
וַיְדַבֵּר יְהֹוָה אֶל מֹשֶׁה לֵאמֹר
דַבֵּר אֶל אַהֲרֹן וְאֶל בָּנָיו לֵאמֹר
כֹּה תְבָרְ֒כוּ אֶת בְּנֵי יִשְׂרָאֵל
אָמוֹר לָהֶם:
יְבָרֶכְ֒ךָ יְהֹוָה וְיִשְׁמְרֶֽךָ:
יָאֵר יְהֹוָה
פָּנָיו אֵלֶֽיךָ
וִיחֻנֶּֽךָ:
יִשָּׂא יְהֹוָה
פָּנָיו אֵלֶֽיךָ
וְיָשֵׂם לְךָ שָׁלוֹם:
וְשָׂמוּ אֶת שְׁמִי
עַל בְּנֵי יִשְׂרָאֵל
וַאֲנִי אַבָרְ֒כֵם:
אֵֽלּוּ דְבָרִים
שֶׁאֵין לָהֶם שִׁעוּר
הַפֵּאָה
וְהַבִּכּוּרִים
וְהָרְ֒אָיוֹן
וּגְ֒מִילוּת חֲסָדִים
וְתַלְמוּד תּוֹרָה:
אֵֽלּוּ דְבָרִים
שֶׁאָדָם אוֹכֵל פֵּרוֹתֵיהֶם
בָּעוֹלָם הַזֶּה
וְהַקֶּֽרֶן
קַיֶּֽמֶת לָעוֹלָם הַבָּא,
וְאֵֽלּוּ הֵן
כִּבּוּד אָב וָאֵם
וּגְ֒מִילוּת חֲסָדִים
וְהַשְׁכָּמַת בֵּית הַמִּדְרָשׁ
שַׁחֲרִית וְעַרְ֒בִית
וְהַכְנָסַת אוֹרְ֒חִים
וּבִקּוּר חוֹלִים
וְהַכְנָסַת כַּלָּה
וּלְ֒וָיַת הַמֵּת
וְעִיּוּן תְּפִלָּה
וַהֲבָאַת שָׁלוֹם בֵּין אָדָם לַחֲבֵרוֹ
ובֵין אִישׁ לְאִשְׁתּוֹ
וְתַלְמוּד תּוֹרָה כְּנֶֽגֶד כֻּלָּם:</t>
        </is>
      </c>
      <c r="F380" s="10" t="inlineStr"/>
      <c r="G380" s="11" t="inlineStr">
        <is>
          <t>Shabbat Siddur Sefard Linear, The Morning Prayers, Blessings of the Torah</t>
        </is>
      </c>
      <c r="H380" s="8" t="inlineStr">
        <is>
          <t>The Metsudah Siddur, Metsudah Publications, 1981 - HE — CC-BY</t>
        </is>
      </c>
      <c r="I380" s="8" t="inlineStr">
        <is>
          <t>sefaria-shabbat-siddur-sefard-linear-the-morning-prayers-blessings-of-the-torah</t>
        </is>
      </c>
    </row>
    <row r="381" ht="409" customHeight="1">
      <c r="A381" s="7">
        <f>IF(LEN(TRIM(F381))=0,"Approved","Comment to address")</f>
        <v/>
      </c>
      <c r="B381" s="12" t="inlineStr">
        <is>
          <t>Psalm 92</t>
        </is>
      </c>
      <c r="C381" s="12" t="inlineStr">
        <is>
          <t>shabbat</t>
        </is>
      </c>
      <c r="D381" s="12" t="inlineStr">
        <is>
          <t>Nusach Sefard</t>
        </is>
      </c>
      <c r="E381" s="13" t="inlineStr">
        <is>
          <t>מִזְמוֹר שִׁיר לְיוֹם הַשַּׁבָּת:
טוֹב לְהֹדוֹת לַיהֹוָה
וּלְזַמֵּר לְשִׁמְךָ עֶלְיוֹן:
לְהַגִּיד בַּבֹּֽקֶר חַסְדֶּֽךָ
וֶאֱמוּנָתְךָ בַּלֵּילוֹת:
עֲלֵי־עָשׂוֹר וַעֲלֵי־נָֽבֶל
עֲלֵי הִגָּיוֹן בְּכִנּוֹר:
כִּי שִׂמַּחְתַּֽנִי יְהֹוָה
בְּפָעֳלֶֽךָ
בְּמַעֲשֵׂי יָדֶֽיךָ אֲרַנֵּן:
מַה־גָּדְלוּ מַעֲשֶֽׂיךָ יְהֹוָה
מְאֹד עָמְקוּ מַחְשְׁבֹתֶֽיךָ:
אִישׁ־בַּֽעַר לֹא יֵדָע
וּכְסִיל לֹא־יָבִין אֶת־זֹאת:
בִּפְרֹֽחַ רְשָׁעִים כְּמוֹ עֵֽשֶׂב
וַיָּצִֽיצוּ כָּל־פֹּֽעֲלֵי אָֽוֶן
לְהִשָּׁמְדָם עֲדֵי־עַד:
וְאַתָּה מָרוֹם לְעֹלָם
יְהֹוָה:
כִּי הִנֵּה אֹיְבֶֽיךָ יְהֹוָה
כִּי־הִנֵּה אֹיְבֶֽיךָ יֹאבֵֽדוּ
יִתְפָּרְדוּ כָּל־פֹּֽעֲלֵי אָֽוֶן:
וַתָּֽרֶם כִּרְאֵים קַרְנִי
בַּלֹּתִי בְּשֶֽׁמֶן רַעֲנָן:
וַתַּבֵּט עֵינִי
בְּשׁוּרָי
בַּקָּמִים עָלַי מְרֵעִים
תִּשְׁמַֽעְנָה אָזְנָי:
צַדִּיק כַּתָּמָר יִפְרָח
כְּאֶֽרֶז בַּלְּבָנוֹן יִשְׂגֶּה:
שְׁתוּלִים בְּבֵית יְהֹוָה
בְּחַצְרוֹת אֱלֹהֵֽינוּ
יַפְרִֽיחוּ:
עוֹד יְנוּבוּן בְּשֵׂיבָה
דְּשֵׁנִים וְרַעֲנַנִּים יִהְיוּ:
לְהַגִּיד כִּי־יָשָׁר יְהֹוָה
צוּרִי
וְלֹא־עַוְלָֽתָה בּוֹ:</t>
        </is>
      </c>
      <c r="F381" s="10" t="inlineStr"/>
      <c r="G381" s="14" t="inlineStr">
        <is>
          <t>Shabbat Siddur Sefard Linear, The Morning Prayers, Psalm 92</t>
        </is>
      </c>
      <c r="H381" s="12" t="inlineStr">
        <is>
          <t>The Metsudah Siddur, Metsudah Publications, 1981 - HE — CC-BY</t>
        </is>
      </c>
      <c r="I381" s="12" t="inlineStr">
        <is>
          <t>sefaria-shabbat-siddur-sefard-linear-the-morning-prayers-psalm-92</t>
        </is>
      </c>
    </row>
    <row r="382" ht="301" customHeight="1">
      <c r="A382" s="7">
        <f>IF(LEN(TRIM(F382))=0,"Approved","Comment to address")</f>
        <v/>
      </c>
      <c r="B382" s="8" t="inlineStr">
        <is>
          <t>Psalm 93</t>
        </is>
      </c>
      <c r="C382" s="8" t="inlineStr">
        <is>
          <t>shabbat</t>
        </is>
      </c>
      <c r="D382" s="8" t="inlineStr">
        <is>
          <t>Nusach Sefard</t>
        </is>
      </c>
      <c r="E382" s="9" t="inlineStr">
        <is>
          <t>יְהֹוָה מָלָךְ
גֵּאוּת לָבֵשׁ
לָבֵשׁ יְהֹוָה
עֹז הִתְאַזָּר
אַף־תִּכּוֹן תֵּבֵל
בַּל־תִּמּוֹט:
נָכוֹן כִּסְאֲךָ מֵאָז
מֵעוֹלָם אָֽתָּה:
נָשְׂאוּ נְהָרוֹת יְהֹוָה
נָשְׂאוּ נְהָרוֹת קוֹלָם
יִשְׂאוּ נְהָרוֹת דָּכְיָם:
מִקֹּלוֹת מַֽיִם רַבִּים
אַדִּירִים מִשְׁבְּרֵי־יָם
אַדִּיר בַּמָּרוֹם יְהֹוָה:
עֵדֹתֶֽיךָ נֶאֶמְנוּ מְאֹד
לְבֵיתְךָ נָֽאֲוָה־קֹּֽדֶשׁ
יְהֹוָה לְאֹֽרֶךְ יָמִים:</t>
        </is>
      </c>
      <c r="F382" s="10" t="inlineStr"/>
      <c r="G382" s="11" t="inlineStr">
        <is>
          <t>Shabbat Siddur Sefard Linear, The Morning Prayers, Psalm 93</t>
        </is>
      </c>
      <c r="H382" s="8" t="inlineStr">
        <is>
          <t>The Metsudah Siddur, Metsudah Publications, 1981 - HE — CC-BY</t>
        </is>
      </c>
      <c r="I382" s="8" t="inlineStr">
        <is>
          <t>sefaria-shabbat-siddur-sefard-linear-the-morning-prayers-psalm-93</t>
        </is>
      </c>
    </row>
    <row r="383" ht="409" customHeight="1">
      <c r="A383" s="7">
        <f>IF(LEN(TRIM(F383))=0,"Approved","Comment to address")</f>
        <v/>
      </c>
      <c r="B383" s="12" t="inlineStr">
        <is>
          <t>Aleinu</t>
        </is>
      </c>
      <c r="C383" s="12" t="inlineStr">
        <is>
          <t>shabbat</t>
        </is>
      </c>
      <c r="D383" s="12" t="inlineStr">
        <is>
          <t>Nusach Sefard</t>
        </is>
      </c>
      <c r="E383" s="13"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t>
        </is>
      </c>
      <c r="F383" s="10" t="inlineStr"/>
      <c r="G383" s="14" t="inlineStr">
        <is>
          <t>Shabbat Siddur Sefard Linear, Musaf Service, Aleinu</t>
        </is>
      </c>
      <c r="H383" s="12" t="inlineStr">
        <is>
          <t>The Metsudah Siddur, Metsudah Publications, 1981 - HE — CC-BY</t>
        </is>
      </c>
      <c r="I383" s="12" t="inlineStr">
        <is>
          <t>sefaria-shabbat-siddur-sefard-linear-musaf-service-aleinu</t>
        </is>
      </c>
    </row>
    <row r="384" ht="352" customHeight="1">
      <c r="A384" s="7">
        <f>IF(LEN(TRIM(F384))=0,"Approved","Comment to address")</f>
        <v/>
      </c>
      <c r="B384" s="8" t="inlineStr">
        <is>
          <t>Adon Olam</t>
        </is>
      </c>
      <c r="C384" s="8" t="inlineStr">
        <is>
          <t>shabbat</t>
        </is>
      </c>
      <c r="D384" s="8" t="inlineStr">
        <is>
          <t>Nusach Sefard</t>
        </is>
      </c>
      <c r="E384" s="9" t="inlineStr">
        <is>
          <t>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t>
        </is>
      </c>
      <c r="F384" s="10" t="inlineStr"/>
      <c r="G384" s="11" t="inlineStr">
        <is>
          <t>Shabbat Siddur Sefard Linear, Musaf Service, Adon Olam</t>
        </is>
      </c>
      <c r="H384" s="8" t="inlineStr">
        <is>
          <t>The Metsudah Siddur, Metsudah Publications, 1981 - HE — CC-BY</t>
        </is>
      </c>
      <c r="I384" s="8" t="inlineStr">
        <is>
          <t>sefaria-shabbat-siddur-sefard-linear-musaf-service-adon-olam</t>
        </is>
      </c>
    </row>
    <row r="385" ht="409" customHeight="1">
      <c r="A385" s="7">
        <f>IF(LEN(TRIM(F385))=0,"Approved","Comment to address")</f>
        <v/>
      </c>
      <c r="B385" s="12" t="inlineStr">
        <is>
          <t>Baruch Hashem Yom Yom</t>
        </is>
      </c>
      <c r="C385" s="12" t="inlineStr">
        <is>
          <t>shabbat</t>
        </is>
      </c>
      <c r="D385" s="12" t="inlineStr">
        <is>
          <t>Nusach Sefard</t>
        </is>
      </c>
      <c r="E385" s="13" t="inlineStr">
        <is>
          <t>בָּרוּךְ אֲדֹנָי יוֹם יוֹם.
יַעֲמָס לָנוּ יֶֽשַׁע
וּפִדְיוֹם.
וּבִשְׁמוֹ נָגִיל כָּל הַיּוֹם.
וּבִישׁוּעָתוֹ
נָרִים רֹאשׁ עֶלְיוֹן.
כִּי הוּא מָעוֹז לַדָּל
וּמַחֲסֶה לָאֶבְיוֹן.
שִׁבְטֵי יָהּ
לְיִשְׂרָאֵל עֵדוּת.
בְּצָרָתָם לֹו צָר.
בְּסִבְלוּת וּבְעַבְדוּת.
בְּלִבְנַת הַסַּפִּיר
הֶרְאָם עוֹז יְדִידוּת.
וְנִגְלָה לְהַעֲלוֹתָם
מֵעֹֽמֶק בּוֹר וָדוּת.
כִּי עִם יְהֹוָה הַחֶֽסֶד
וְהַרְבֵּה עִמּוֹ פְדוּת.
מַה יָּקָר חַסְדּוֹ
בְּצִלּוֹ לְגוֹנְ֒נֵֽמוֹ.
בְּגָלוּת בָּבֶֽלָה
שֻׁלַּח לְמַעֲנֵֽמוֹ.
לְהוֹרִיד בָּרִיחִים
נִמְנָה בֵינֵֽימוֹ.
וַיִּתְּ֒נֵם לְרַחֲמִים
לִפְנֵי שׁוֹבֵֽימוֹ.
כִּי לֹא יִטּשׁ יְהֹוָה אֶת עַמּוֹ.
בַּעֲבוּר הַגָּדוֹל שְׁמוֹ.
עֵילָם שָׁת כִּסְאוֹ
לְהַצִּיל יְדִידָיו.
לְהַעֲבִיר מִשָּׁם
מָעֻזְנֵי
מוֹרְ֒דָיו.
מֵעֲבוֹר בַּשֶּֽׁלַח
פָּדָה אֶת עֲבָדָיו.
קֶֽרֶן לְעַמּוֹ יָרִים
תְּהִלָּה לְכָל חֲסִידָיו.
כִּי אִם הוֹגָה
וְרִחַם כְּרַחֲמָיו
וּכְרוֹב חֲסָדָיו:
וּצְפִיר הָעִזִּים הִגְדִּיל עֲצוּמָיו.
וְגַם חָזוּת אַרְבַּע
עָלוּ לִמְרוֹמָיו.
וּבְלִבָּם דִּמּוּ
לְהַשְׁחִית אֶת רְחוּמָיו.
עַל יְדֵי כהֲנָיו
מִגֵּר מִתְקוֹמְ֒מָיו.
חַסְדֵי יְהֹוָה
כִּי לֹא תָמְנוּ
כִּי לֹא כָלוּ רַחֲמָיו.
נִסְגַּרְתִּי לֶאֱדוֹם
בְּיַד רֵעַי מְדָנַי.
שֶׁבְּ֒כָל יוֹם וָיוֹם
מְמַלְּ֒אִים כְּרֵסָם מֵעֲדָנַי.
עֶזְרָתוֹ עִמִּי
לִסְמוֹךְ אֶת אֲדָנַי.
וְלֹא נְטַשְׁתַּֽנִי
כָּל יְמֵי עִדָּנַי.
כִּי לֹא יִזְנַח לְעוֹלָם אֲדֹנָי.
בְּבוֹאוֹ מֵאֱדוֹם
חֲמוּץ בְּגָדִים.
זֶֽבַח לוֹ בְּבָצְרָה
וְטֶֽבַח לוֹ בְּבוֹגְדִים.
וְיֵז נִצְחָם
מַלְבּוּשָׁיו לְהַאֲדִּים.
בְּכֹחוֹ הַגָּדוֹל
יִבְצוֹר
רוּחַ נְגִידִים.
הָגָה בְּרוּחוֹ הַקָּשָׁה
בְּיוֹם קָדִים.
רְאוֹתוֹ כִּי כֵן
אֲדוֹמִי הָעוֹצֵר.
יַחֲשׁוֹב לוֹ בְבָצְרָה
תִּקְלוֹט כְּבֶֽצֶר.
וּמַלְאָךְ
כְּאָדָם בְּתוֹכָהּ יִנָּצֵר.
וּמֵזִיד
כַּשּׁוֹגֵג
בְּמִקְלָט יֵעָצֵר.
אֶהֱבוּ אֶת יְהֹוָה כָּל חֲסִידָיו
אֱמוּנִים נוֹצֵר.
יְצַוֶּה צוּר חַסְדּוֹ
קְהִלּוֹתָיו לְקַבֵּץ.
מֵאַרְבַּע רוּחוֹת
עָדָיו לְהִקָּבֵץ.
וּבְהַר
מְרוֹם הָרִים
אוֹתָֽנוּ לְהַרְבֵּץ.
וְאִתָּֽנוּ יָשׁוּב
נִדָּחִים קוֹבֵץ.
יָשִׁיב לֹא נֶאֱמַר
כִּי אִם וְשָׁב וְקִבֵּץ.
בָּרוּךְ הוּא אֱלֹהֵֽינוּ
אֲשֶׁר טוֹב גְּמָלָֽנוּ.
כְּרַחֲמָיו
וּכְרוֹב חֲסָדָיו.
הִגְדִּיל לָֽנוּ.
אֵֽלֶּה וְכָאֵֽלֶּה
יוֹסֵף עִמָּֽנוּ.
לְהַגְדִּיל שְׁמוֹ הַגָּדוֹל
הַגִּבּוֹר וְהַנּוֹרָא
שֶׁנִּקְרָא עָלֵֽינוּ.
בָּרוּךְ הוּא אֱלֹהֵֽינוּ
שֶׁבְּ֒רָאָֽנוּ לִכְבוֹדוֹ.
לְהַלְּ֒לוֹ וּלְ֒שַׁבְּחוֹ
וּלְסַפֵּר הוֹדוֹ.
מִכָּל אוֹם
גָּבַר עָלֵֽינוּ חַסְדּוֹ.
לָכֵן בְּכָל לֵב
וּבְכָל נֶֽפֶשׁ
וּבְכָל מְאוֹדוֹ.
נַמְלִיכוֹ וּנְיַחֲדוֹ.
שֶׁהַשָּׁלוֹם שֶׁלּוֹ
יָשִׂים עָלֵינוּ בְּרָכָה וְשָׁלוֹם.
מִשְּׂ֒מֹאל וּמִיָּמִין
עַל יִשְׂרָאֵל שָׁלוֹם.
הָרַחֲמָן
הוּא יְבָרֵךְ אֶת עַמּוֹ בַשָּׁלוֹם.
וְיִזְכּוּ לִרְאוֹת
בָּנִים וּבְנֵי בָנִים
עוֹסְקִים בַּתּוֹרָה
וּבְמִצְוֹת
עַל יִשְׂרָאֵל שָׁלוֹם.
יוֹעֵץ אֵל גִּבּוֹר
אֲבִי עַד שַׂר שָׁלוֹם:</t>
        </is>
      </c>
      <c r="F385" s="10" t="inlineStr"/>
      <c r="G385" s="14" t="inlineStr">
        <is>
          <t>Shabbat Siddur Sefard Linear, Songs for Shabbos Morning, Baruch Hashem Yom Yom</t>
        </is>
      </c>
      <c r="H385" s="12" t="inlineStr">
        <is>
          <t>The Metsudah Siddur, Metsudah Publications, 1981 - HE — CC-BY</t>
        </is>
      </c>
      <c r="I385" s="12" t="inlineStr">
        <is>
          <t>sefaria-shabbat-siddur-sefard-linear-songs-for-shabbos-morning-baruch-hashem-yom-yom</t>
        </is>
      </c>
    </row>
    <row r="386" ht="409" customHeight="1">
      <c r="A386" s="7">
        <f>IF(LEN(TRIM(F386))=0,"Approved","Comment to address")</f>
        <v/>
      </c>
      <c r="B386" s="8" t="inlineStr">
        <is>
          <t>Dror Yikra</t>
        </is>
      </c>
      <c r="C386" s="8" t="inlineStr">
        <is>
          <t>shabbat</t>
        </is>
      </c>
      <c r="D386" s="8" t="inlineStr">
        <is>
          <t>Nusach Sefard</t>
        </is>
      </c>
      <c r="E386" s="9" t="inlineStr">
        <is>
          <t>דְּרוֹר יִקְרָא
לְבֵן עִם בַּת.
וְיִנְצָרְכֶם
כְּמוֹ בָבַת.
נְעִים שִׁמְכֶם
וְלֹא יֻשְׁבַּת.
שְׁבוּ נֽוּחוּ בְּיוֹם שַׁבָּת:
דְּרוֹשׁ נָוִי וְאוּלָמִי.
וְאוֹת יֶֽשַׁע עֲשֵׂה עִמִּי.
נְטַע שׂוֹרֵק בְּתוֹךְ כַּרְמִי.
שְׁעֵה שַׁוְעַת בְּנֵי עַמִּי:
דְּרוֹךְ פּוּרָה בְּתוֹךְ בָּצְרָה.
וְגַם בָּבֶל אֲשֶׁר גָּבְ֒רָה.
נְתוֹץ צָרַי בְּאַף וְעֶבְרָה.
שְׁמַע קוֹלִי בְּיוֹם אֶקְרָא:
אֱלֹהִים תֵּן בַּמִּדְבָּר הַר.
הֲדַס שִׁטָּה בְּרוֹשׁ תִּדְהָר.
וְלַמַּזְהִיר
וְלַנִּזְהָר.
שְׁלוֹמִים תֵּן
כְּמֵי נָהָר:
הֲדוֹךְ קָמַי
אֵל קַנָּא.
בְּמוֹג לֵבָב וּבַמְּ֒גִנָּה.
וְנַרְחִיב פֶּה
וּנְמַלֶּֽאנָּה.
לְשׁוֹנֵֽנוּ לְךָ רִנָּה:
דְּעֵה חָכְמָה לְנַפְשֶֽׁךָ.
וְהִיא כֶֽתֶר לְרֹאשֶֽׁךָ.
נְצוֹר מִצְוַת
קְדוֹשֶׁיךָ.
שְׁמוֹר שַׁבַּת קְדשֶֽׁךָ:</t>
        </is>
      </c>
      <c r="F386" s="10" t="inlineStr"/>
      <c r="G386" s="11" t="inlineStr">
        <is>
          <t>Shabbat Siddur Sefard Linear, Songs for Shabbos Morning, Dror Yikra</t>
        </is>
      </c>
      <c r="H386" s="8" t="inlineStr">
        <is>
          <t>The Metsudah Siddur, Metsudah Publications, 1981 - HE — CC-BY</t>
        </is>
      </c>
      <c r="I386" s="8" t="inlineStr">
        <is>
          <t>sefaria-shabbat-siddur-sefard-linear-songs-for-shabbos-morning-dror-yikra</t>
        </is>
      </c>
    </row>
    <row r="387" ht="409" customHeight="1">
      <c r="A387" s="7">
        <f>IF(LEN(TRIM(F387))=0,"Approved","Comment to address")</f>
        <v/>
      </c>
      <c r="B387" s="12" t="inlineStr">
        <is>
          <t>Ashrei</t>
        </is>
      </c>
      <c r="C387" s="12" t="inlineStr">
        <is>
          <t>shabbat</t>
        </is>
      </c>
      <c r="D387" s="12" t="inlineStr">
        <is>
          <t>Nusach Sefard</t>
        </is>
      </c>
      <c r="E387" s="13" t="inlineStr">
        <is>
          <t>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נוֹרְ֒אוֹתֶֽיךָ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t>
        </is>
      </c>
      <c r="F387" s="10" t="inlineStr"/>
      <c r="G387" s="14" t="inlineStr">
        <is>
          <t>Shabbat Siddur Sefard Linear, Mincha Service for Shabbos and Yom Tov, Ashrei</t>
        </is>
      </c>
      <c r="H387" s="12" t="inlineStr">
        <is>
          <t>The Metsudah Siddur, Metsudah Publications, 1981 - HE — CC-BY</t>
        </is>
      </c>
      <c r="I387" s="12" t="inlineStr">
        <is>
          <t>sefaria-shabbat-siddur-sefard-linear-mincha-service-for-shabbos-and-yom-tov-ashrei</t>
        </is>
      </c>
    </row>
    <row r="388" ht="409" customHeight="1">
      <c r="A388" s="7">
        <f>IF(LEN(TRIM(F388))=0,"Approved","Comment to address")</f>
        <v/>
      </c>
      <c r="B388" s="8" t="inlineStr">
        <is>
          <t>Aleinu</t>
        </is>
      </c>
      <c r="C388" s="8" t="inlineStr">
        <is>
          <t>shabbat</t>
        </is>
      </c>
      <c r="D388" s="8" t="inlineStr">
        <is>
          <t>Nusach Sefard</t>
        </is>
      </c>
      <c r="E388" s="9"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t>
        </is>
      </c>
      <c r="F388" s="10" t="inlineStr"/>
      <c r="G388" s="11" t="inlineStr">
        <is>
          <t>Shabbat Siddur Sefard Linear, Mincha Service for Shabbos and Yom Tov, Aleinu</t>
        </is>
      </c>
      <c r="H388" s="8" t="inlineStr">
        <is>
          <t>The Metsudah Siddur, Metsudah Publications, 1981 - HE — CC-BY</t>
        </is>
      </c>
      <c r="I388" s="8" t="inlineStr">
        <is>
          <t>sefaria-shabbat-siddur-sefard-linear-mincha-service-for-shabbos-and-yom-tov-aleinu</t>
        </is>
      </c>
    </row>
    <row r="389" ht="409" customHeight="1">
      <c r="A389" s="7">
        <f>IF(LEN(TRIM(F389))=0,"Approved","Comment to address")</f>
        <v/>
      </c>
      <c r="B389" s="12" t="inlineStr">
        <is>
          <t>Aleinu</t>
        </is>
      </c>
      <c r="C389" s="12" t="inlineStr">
        <is>
          <t>shabbat</t>
        </is>
      </c>
      <c r="D389" s="12" t="inlineStr">
        <is>
          <t>Nusach Sefard</t>
        </is>
      </c>
      <c r="E389" s="13"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עֹל מַלְכוּתֶֽךָ.
וְתִמְלֹךְ עֲלֵיהֶם מְהֵרָה
לְעוֹלָם וָעֶד.
כִּי הַמַּלְכוּת שֶׁלְּ֒ךָ הִיא
וּלְעֽוֹלְ֒מֵי עַד תִּמְלוֹךְ בְּכָבוֹד.
כַּכָּתוּב בְּתוֹרָתֶֽךָ
יְהֹוָה יִמְלֹךְ לְעֹלָם וָעֶד:
❖וְנֶאֱמַר
וְהָיָה יְהֹוָה לְמֶֽלֶךְ
עַל כָּל הָאָֽרֶץ
בַּיּוֹם הַהוּא יִהְיֶה יְהֹוָה אֶחָד
וּשְׁמוֹ אֶחָד:
אַל תִּירָא מִפַּֽחַד פִּתְאֹם
וּמִשֹּׁאַת רְשָׁעִים
כִּי תָבֹא:
עֻֽצוּ עֵצָה וְתֻפָר
דַּבְּ֒רוּ דָבָר וְלֹא יָקוּם
כִּי עִמָּֽנוּ אֵל:
וְעַד זִקְנָה אֲנִי הוּא
וְעַד שֵׂיבָה אֲנִי אֶסְבֹּל:
אֲנִי עָשִֽׂיתִי וַאֲנִי אֶשָּׂא
וַאֲנִי אֶסְבֹּל וַאֲמַלֵּט:</t>
        </is>
      </c>
      <c r="F389" s="10" t="inlineStr"/>
      <c r="G389" s="14" t="inlineStr">
        <is>
          <t>Shabbat Siddur Sefard Linear, Maariv Service for the Conclusion of Shabbos, Aleinu</t>
        </is>
      </c>
      <c r="H389" s="12" t="inlineStr">
        <is>
          <t>The Metsudah Siddur, Metsudah Publications, 1981 - HE — CC-BY</t>
        </is>
      </c>
      <c r="I389" s="12" t="inlineStr">
        <is>
          <t>sefaria-shabbat-siddur-sefard-linear-maariv-service-for-the-conclusion-of-shabbos-aleinu</t>
        </is>
      </c>
    </row>
    <row r="390" ht="409" customHeight="1">
      <c r="A390" s="7">
        <f>IF(LEN(TRIM(F390))=0,"Approved","Comment to address")</f>
        <v/>
      </c>
      <c r="B390" s="8" t="inlineStr">
        <is>
          <t>Blessings Upon Arising</t>
        </is>
      </c>
      <c r="C390" s="8" t="inlineStr">
        <is>
          <t>daily</t>
        </is>
      </c>
      <c r="D390" s="8" t="inlineStr">
        <is>
          <t>Nusach Sefard</t>
        </is>
      </c>
      <c r="E390" s="9" t="inlineStr">
        <is>
          <t>בָּרוּךְ אַתָּה יְהֹוָה
אֱלֹהֵֽינוּ מֶֽלֶךְ הָעוֹלָם
אֲשֶׁר קִדְּ֒שָֽׁנוּ בְּמִצְוֹתָיו
וְצִוָּנוּ
עַל נְטִילַת יָדָֽיִם:
בָּרוּךְ אַתָּה יְהֹוָה
אֱלֹהֵֽינוּ מֶֽלֶךְ הָעוֹלָם
אֲשֶׁר יָצַר אֶת 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 בָּשָׂר
וּמַפְלִיא לַעֲשׂוֹת:
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390" s="10" t="inlineStr"/>
      <c r="G390" s="11" t="inlineStr">
        <is>
          <t>Weekday Siddur Sefard Linear, The Morning Prayers, Blessings Upon Arising</t>
        </is>
      </c>
      <c r="H390" s="8" t="inlineStr">
        <is>
          <t>The Metsudah siddur: a new linear siddur with English translation by Avrohom Davis, 1981 — CC-BY</t>
        </is>
      </c>
      <c r="I390" s="8" t="inlineStr">
        <is>
          <t>sefaria-weekday-siddur-sefard-linear-the-morning-prayers-blessings-upon-arising</t>
        </is>
      </c>
    </row>
    <row r="391" ht="409" customHeight="1">
      <c r="A391" s="7">
        <f>IF(LEN(TRIM(F391))=0,"Approved","Comment to address")</f>
        <v/>
      </c>
      <c r="B391" s="12" t="inlineStr">
        <is>
          <t>Blessings of the Torah</t>
        </is>
      </c>
      <c r="C391" s="12" t="inlineStr">
        <is>
          <t>daily</t>
        </is>
      </c>
      <c r="D391" s="12" t="inlineStr">
        <is>
          <t>Nusach Sefard</t>
        </is>
      </c>
      <c r="E391" s="13" t="inlineStr">
        <is>
          <t>בָּרוּךְ אַתָּה יְהֹוָה
אֱלֹהֵֽינוּ מֶֽלֶךְ הָעוֹלָם
אֲשֶׁר קִדְּ֒שָֽׁנוּ בְּמִצְוֹתָיו
וְצִוָּנוּ
לַעֲסֹק בְּדִבְרֵי תוֹרָה:
וְהַעֲרֶב נָא יְהֹוָה אֱלֹהֵֽינוּ
אֶת דִּבְרֵי תוֹרָתְ֒ךָ בְּפִֽינוּ
וּבְפִי עַמְּ֒ךָ בֵּית יִשְׂרָאֵל
וְנִהְיֶה אֲנַֽחְנוּ וְצֶאֱצָאֵֽינוּ
וְצֶאֱצָאֵי צֶאֱצָאֵינוּ עַמְּ֒ךָ
בֵּית יִשְׂרָאֵל
כֻּלָּֽנוּ יוֹדְ֒עֵי שְׁמֶֽךָ
וְלוֹמְ֒דֵי תוֹרָתֶֽךָ לִשְׁמָהּ:
בָּרוּךְ אַתָּה יְהֹוָה
הַמְ֒לַמֵּד תּוֹרָה לְעַמּוֹ יִשְׂרָאֵל:
בָּרוּךְ אַתָּה יְהֹוָה
אֱלֹהֵֽינוּ מֶֽלֶךְ הָעוֹלָם
אֲשֶׁר בָּֽחַר בָּֽנוּ מִכָּל הָעַמִּים
וְנָֽתַן לָֽנוּ אֶת תּוֹרָתוֹ:
בָּרוּךְ אַתָּה יְהֹוָה
נוֹתֵן הַתּוֹרָה:
וַיְדַבֵּר יְהֹוָה אֶל מֹשֶׁה לֵאמֹר
דַבֵּר אֶל אַהֲרֹן וְאֶל בָּנָיו לֵאמֹר
כֹּה תְבָרְכוּ אֶת בְּנֵי יִשְׂרָאֵל
אָמוֹר לָהֶם:
יְבָרֶכְ֒ךָ יְהֹוָה וְיִשְׁמְרֶֽךָ:
יָאֵר יְהֹוָה
פָּנָיו אֵלֶֽיךָ
וִיחֻנֶּֽךָּ:
יִשָּׂא יְהֹוָה
פָּנָיו אֵלֶֽיךָ
וְיָשֵׂם לְךָ שָׁלוֹם:
וְשָׂמוּ אֶת שְׁמִי
עַל בְּנֵי יִשְׂרָאֵל
וַאֲנִי אַבָרְכֵם:
אֵֽלּוּ דְבָרִים
שֶׁאֵין לָהֶם שִׁעוּר
הַפֵּאָה
וְהַבִּכּוּרִים
וְהָרְ֒אָיוֹן
וּגְ֒מִילוּת חֲסָדִים
וְתַלְמוּד תּוֹרָה:
אֵֽלּוּ דְבָרִים
שֶׁאָדָם אוֹכֵל פֵּרוֹתֵיהֶם
בָּעוֹלָם הַזֶּה
וְהַקֶּֽרֶן
קַיֶּֽמֶת לָעוֹלָם הַבָּא,
וְאֵֽלּוּ הֵן
כִּבּוּד אָב וָאֵם
וּגְ֒מִילוּת חֲסָדִים
וְהַשְׁכָּמַת בֵּית הַמִּדְרָשׁ
שַׁחֲרִית וְעַרְ֒בִית
וְהַכְנָסַת אוֹרְ֒חִים
וּבִקּוּר חוֹלִים
וְהַכְנָסַת כַּלָּה
וּלְוָיַת הַמֵּת
וְעִיּוּן תְּפִלָּה
וַהֲבָאַת שָׁלוֹם בֵּין אָדָם לַחֲבֵרוֹ
ובֵין אִישׁ לְאִשְׁתּוֹ
וְתַלְמוּד תּוֹרָה כְּנֶֽגֶד כֻּלָּם:</t>
        </is>
      </c>
      <c r="F391" s="10" t="inlineStr"/>
      <c r="G391" s="14" t="inlineStr">
        <is>
          <t>Weekday Siddur Sefard Linear, The Morning Prayers, Blessings of the Torah</t>
        </is>
      </c>
      <c r="H391" s="12" t="inlineStr">
        <is>
          <t>The Metsudah siddur: a new linear siddur with English translation by Avrohom Davis, 1981 — CC-BY</t>
        </is>
      </c>
      <c r="I391" s="12" t="inlineStr">
        <is>
          <t>sefaria-weekday-siddur-sefard-linear-the-morning-prayers-blessings-of-the-torah</t>
        </is>
      </c>
    </row>
    <row r="392" ht="409" customHeight="1">
      <c r="A392" s="7">
        <f>IF(LEN(TRIM(F392))=0,"Approved","Comment to address")</f>
        <v/>
      </c>
      <c r="B392" s="8" t="inlineStr">
        <is>
          <t>Kadesh</t>
        </is>
      </c>
      <c r="C392" s="8" t="inlineStr">
        <is>
          <t>source</t>
        </is>
      </c>
      <c r="D392" s="8" t="inlineStr">
        <is>
          <t>Requires Edition Specific Identification</t>
        </is>
      </c>
      <c r="E392" s="9" t="inlineStr">
        <is>
          <t>מוזגים כוס ראשון. המצות מכוסות.
קַדֵּשׁ
בשבת מתחילין:
וַיְהִי־עֶרֶב וַיְהִי־בֹקֶר יוֹם הַשִּׁשִּׁי. וַיְכֻלּוּ הַשָּׁמַיִם וְהָאָרֶץ וְכָל־צְבָאָם. וַיְכַל אֱלֹהִים בַּיּוֹם הַשְּׁבִיעִי מְלַאכְתּוֹ אֲשֶׁר עָשָׂה וַיִּשְׁבֹּת בַּיּוֹם הַשְּׁבִיעִי מִכָּל־מְלַאכְתּוֹ אֲשֶׁר עָשָׂה. וַיְבָרֶךְ אֱלֹהִים אֶת־יוֹם הַשְּׁבִיעִי וַיְקַדֵּשׁ אוֹתוֹ כִּי בוֹ שָׁבַת מִכָּל־מְלַאכְתּוֹ אֲשֶׁר בָּרָא אֱלֹהִים לַעֲשׂוֹת.
בחול מתחילין:
סַבְרִי מָרָנָן וְרַבָּנָן וְרַבּוֹתַי. בָּרוּךְ אַתָּה יְיָ, אֱלֹהֵינוּ מֶלֶךְ הָעוֹלָם, בּוֹרֵא פְּרִי הַגָּפֶן.
בָּרוּךְ אַתָּה יְיָ, אֱלהֵינוּ מֶלֶךְ הָעוֹלָם אֲשֶׁר בָּחַר בָּנוּ מִכָּל־עָם וְרוֹמְמָנוּ מִכָּל־לָשׁוֹן וְקִדְּשָׁנוּ בְּמִצְוֹתָיו. וַתִּתֶּן לָנוּ יְיָ אֱלֹהֵינוּ בְּאַהֲבָה (לשבת: שַׁבָּתוֹת לִמְנוּחָה וּ)מוֹעֲדִים לְשִׂמְחָה, חַגִּים וּזְמַנִּים לְשָׂשׂוֹן, (לשבת: אֶת יוֹם הַשַּׁבָּת הַזֶּה וְ)אֶת יוֹם חַג הַמַּצּוֹת הַזֶּה זְמַן חֵרוּתֵנוּ, (לשבת: בְּאַהֲבָה) מִקְרָא קֹדֶשׁ זֵכֶר לִיצִיאַת מִצְרָיִם. כִּי בָנוּ בָחַרְתָּ וְאוֹתָנוּ קִדַּשְׁתָּ מִכָּל הָעַמִּים, (לשבת: וְשַׁבָּת) וּמוֹעֲדֵי קָדְשֶׁךָ (לשבת: בְּאַהֲבָה וּבְרָצוֹן) בְּשִׂמְחָה וּבְשָׂשׂוֹן הִנְחַלְתָּנוּ.
בָּרוּךְ אַתָּה יְיָ, מְקַדֵּשׁ (לשבת: הַשַׁבָּת וְ)יִשְׂרָאֵל וְהַזְּמַנִּים.
בּמוצאי שבת מוסיפים:
בָּרוּךְ אַתָּה יְיָ, אֱלֹהֵינוּ מֶלֶךְ הָעוֹלָם, בּוֹרֵא מְאוֹרֵי הָאֵשׁ. בָּרוּךְ אַתָּה יְיָ, אֱלֹהֵינוּ מֶלֶךְ הָעוֹלָם, הַמַּבְדִיל בֵּין קֹדֶשׁ לְחֹל, בֵּין אוֹר לְחשֶׁךְ, בֵּין יִשְׂרָאֵל לָעַמִּים, בֵּין יוֹם הַשְּׁבִיעִי לְשֵׁשֶׁת יְמֵי הַמַּעֲשֶׂה. בֵּין קְדֻשַּׁת שַׁבָּת לִקְדֻשַּׁת יוֹם טוֹב הִבְדַּלְתָּ, וְאֶת־יוֹם הַשְּׁבִיעִי מִשֵּׁשֶׁת יְמֵי הַמַּעֲשֶׂה קִדַּשְׁתָּ. הִבְדַּלְתָּ וְקִדַּשְׁתָּ אֶת־עַמְּךָ יִשְׂרָאֵל בִּקְדֻשָּׁתֶךָ.
בָּרוּךְ אַתָּה יְיָ, הַמַּבְדִיל בֵּין קֹדֶשׁ לְקֹדֶשׁ.
בָּרוּךְ אַתָּה יְיָ, אֱלֹהֵינוּ מֶלֶךְ הָעוֹלָם, שֶׁהֶחֱיָנוּ וְקִיְּמָנוּ וְהִגִּיעָנוּ לַזְּמַן הַזֶּה.
שותה בהסיבת שמאל ואינו מברך ברכה אחרונה.</t>
        </is>
      </c>
      <c r="F392" s="10" t="inlineStr"/>
      <c r="G392" s="11" t="inlineStr">
        <is>
          <t>Pesach Haggadah, Kadesh</t>
        </is>
      </c>
      <c r="H392" s="8" t="inlineStr">
        <is>
          <t>Pesach Haggadah — Public Domain</t>
        </is>
      </c>
      <c r="I392" s="8" t="inlineStr">
        <is>
          <t>sefaria-pesach-haggadah-kadesh</t>
        </is>
      </c>
    </row>
    <row r="393" ht="80" customHeight="1">
      <c r="A393" s="7">
        <f>IF(LEN(TRIM(F393))=0,"Approved","Comment to address")</f>
        <v/>
      </c>
      <c r="B393" s="12" t="inlineStr">
        <is>
          <t>Karpas</t>
        </is>
      </c>
      <c r="C393" s="12" t="inlineStr">
        <is>
          <t>source</t>
        </is>
      </c>
      <c r="D393" s="12" t="inlineStr">
        <is>
          <t>Requires Edition Specific Identification</t>
        </is>
      </c>
      <c r="E393" s="13" t="inlineStr">
        <is>
          <t>כַּרְפַּס
לוקח מן הכרפס פחות מכזית – כדי שלא יתחייב בברכה אחרונה – טובל במי מלח, מברך "בורא פרי האדמה", ומכווין לפטור בברכה גם את המרור. אוכל בלא הסבה.
בָּרוּךְ אַתָּה יְיָ, אֱלֹהֵינוּ מֶלֶךְ הָעוֹלָם, בּוֹרֵא פְּרִי הָאֲדָמָה.</t>
        </is>
      </c>
      <c r="F393" s="10" t="inlineStr"/>
      <c r="G393" s="14" t="inlineStr">
        <is>
          <t>Pesach Haggadah, Karpas</t>
        </is>
      </c>
      <c r="H393" s="12" t="inlineStr">
        <is>
          <t>Pesach Haggadah — Public Domain</t>
        </is>
      </c>
      <c r="I393" s="12" t="inlineStr">
        <is>
          <t>sefaria-pesach-haggadah-karpas</t>
        </is>
      </c>
    </row>
    <row r="394" ht="46" customHeight="1">
      <c r="A394" s="7">
        <f>IF(LEN(TRIM(F394))=0,"Approved","Comment to address")</f>
        <v/>
      </c>
      <c r="B394" s="8" t="inlineStr">
        <is>
          <t>Yachatz</t>
        </is>
      </c>
      <c r="C394" s="8" t="inlineStr">
        <is>
          <t>source</t>
        </is>
      </c>
      <c r="D394" s="8" t="inlineStr">
        <is>
          <t>Requires Edition Specific Identification</t>
        </is>
      </c>
      <c r="E394" s="9" t="inlineStr">
        <is>
          <t>יַחַץ
חותך את המצה האמצעית לשתים, ומצפין את הנתח הגדול לאפיקומן</t>
        </is>
      </c>
      <c r="F394" s="10" t="inlineStr"/>
      <c r="G394" s="11" t="inlineStr">
        <is>
          <t>Pesach Haggadah, Yachatz</t>
        </is>
      </c>
      <c r="H394" s="8" t="inlineStr">
        <is>
          <t>Pesach Haggadah — Public Domain</t>
        </is>
      </c>
      <c r="I394" s="8" t="inlineStr">
        <is>
          <t>sefaria-pesach-haggadah-yachatz</t>
        </is>
      </c>
    </row>
    <row r="395" ht="114" customHeight="1">
      <c r="A395" s="7">
        <f>IF(LEN(TRIM(F395))=0,"Approved","Comment to address")</f>
        <v/>
      </c>
      <c r="B395" s="12" t="inlineStr">
        <is>
          <t>Ha Lachma Anya</t>
        </is>
      </c>
      <c r="C395" s="12" t="inlineStr">
        <is>
          <t>source</t>
        </is>
      </c>
      <c r="D395" s="12" t="inlineStr">
        <is>
          <t>Requires Edition Specific Identification</t>
        </is>
      </c>
      <c r="E395" s="13" t="inlineStr">
        <is>
          <t>מַגִּיד
מגלה את המצות, מגביה את הקערה ואומר בקול רם:
הָא לַחְמָא עַנְיָא דִּי אֲכָלוּ אַבְהָתָנָא בְּאַרְעָא דְמִצְרָיִם. כָּל דִכְפִין יֵיתֵי וְיֵיכֹל, כָּל דִצְרִיךְ יֵיתֵי וְיִפְסַח. הָשַּׁתָּא הָכָא, לְשָׁנָה הַבָּאָה בְּאַרְעָא דְיִשְׂרָאֵל. הָשַּׁתָּא עַבְדֵי, לְשָׁנָה הַבָּאָה בְּנֵי חוֹרִין.</t>
        </is>
      </c>
      <c r="F395" s="10" t="inlineStr"/>
      <c r="G395" s="14" t="inlineStr">
        <is>
          <t>Pesach Haggadah, Magid, Ha Lachma Anya</t>
        </is>
      </c>
      <c r="H395" s="12" t="inlineStr">
        <is>
          <t>Pesach Haggadah — Public Domain</t>
        </is>
      </c>
      <c r="I395" s="12" t="inlineStr">
        <is>
          <t>sefaria-pesach-haggadah-magid-ha-lachma-anya</t>
        </is>
      </c>
    </row>
    <row r="396" ht="131" customHeight="1">
      <c r="A396" s="7">
        <f>IF(LEN(TRIM(F396))=0,"Approved","Comment to address")</f>
        <v/>
      </c>
      <c r="B396" s="8" t="inlineStr">
        <is>
          <t>Four Questions</t>
        </is>
      </c>
      <c r="C396" s="8" t="inlineStr">
        <is>
          <t>source</t>
        </is>
      </c>
      <c r="D396" s="8" t="inlineStr">
        <is>
          <t>Requires Edition Specific Identification</t>
        </is>
      </c>
      <c r="E396" s="9" t="inlineStr">
        <is>
          <t>מסיר את הקערה מעל השולחן. מוזגין כוס שני. הבן שואל:
מַה נִּשְׁתַּנָּה הַלַּיְלָה הַזֶּה מִכָּל הַלֵּילוֹת? שֶׁבְּכָל הַלֵּילוֹת אָנוּ אוֹכְלִין חָמֵץ וּמַצָּה, הַלַּיְלָה הַזֶּה – כֻּלּוֹ מַצָּה. שֶׁבְּכָל הַלֵּילוֹת אָנוּ אוֹכְלִין שְׁאָר יְרָקוֹת – הַלַּיְלָה הַזֶּה (כֻּלּוֹ) מָרוֹר. שֶׁבְּכָל הַלֵּילוֹת אֵין אָנוּ מַטְבִּילִין אֲפִילוּ פַּעַם אֶחָת – הַלַּיְלָה הַזֶּה שְׁתֵּי פְעָמִים. שֶׁבְּכָל הַלֵּילוֹת אָנוּ אוֹכְלִין בֵּין יוֹשְׁבִין וּבֵין מְסֻבִּין – הַלַּיְלָה הַזֶּה כֻּלָּנוּ מְסֻבִּין.</t>
        </is>
      </c>
      <c r="F396" s="10" t="inlineStr"/>
      <c r="G396" s="11" t="inlineStr">
        <is>
          <t>Pesach Haggadah, Magid, Four Questions</t>
        </is>
      </c>
      <c r="H396" s="8" t="inlineStr">
        <is>
          <t>Pesach Haggadah — Public Domain</t>
        </is>
      </c>
      <c r="I396" s="8" t="inlineStr">
        <is>
          <t>sefaria-pesach-haggadah-magid-four-questions</t>
        </is>
      </c>
    </row>
    <row r="397" ht="182" customHeight="1">
      <c r="A397" s="7">
        <f>IF(LEN(TRIM(F397))=0,"Approved","Comment to address")</f>
        <v/>
      </c>
      <c r="B397" s="12" t="inlineStr">
        <is>
          <t>Story of the Five Rabbis</t>
        </is>
      </c>
      <c r="C397" s="12" t="inlineStr">
        <is>
          <t>source</t>
        </is>
      </c>
      <c r="D397" s="12" t="inlineStr">
        <is>
          <t>Requires Edition Specific Identification</t>
        </is>
      </c>
      <c r="E397" s="13" t="inlineStr">
        <is>
          <t>מַעֲשֶׂה בְרַבִּי אֱלִיעֶזֶר וְרַבִּי יְהוֹשֻׁעַ וְרַבִּי אֶלְעָזָר בֶּן־עֲזַרְיָה וְרַבִּי עֲקִיבָא וְרַבִּי טַרְפוֹן שֶׁהָיוּ מְסֻבִּין בִּבְנֵי־בְרַק וְהָיוּ מְסַפְּרִים בִּיצִיאַת מִצְרַיִם כָּל־אוֹתוֹ הַלַּיְלָה, עַד שֶׁבָּאוּ תַלְמִידֵיהֶם וְאָמְרוּ לָהֶם רַבּוֹתֵינוּ הִגִּיעַ זְמַן קְרִיאַת שְׁמַע שֶׁל שַׁחֲרִית.
אָמַר רַבִּי אֶלְעָזָר בֶּן־עֲזַרְיָה הֲרֵי אֲנִי כְּבֶן שִׁבְעִים שָׁנָה וְלֹא זָכִיתִי שֶׁתֵּאָמֵר יְצִיאַת מִצְרַיִם בַּלֵּילוֹת עַד שֶׁדְּרָשָׁהּ בֶּן זוֹמָא, שֶׁנֶּאֱמַר, לְמַעַן תִּזְכֹּר אֶת יוֹם צֵאתְךָ מֵאֶרֶץ מִצְרַיִם כֹּל יְמֵי חַיֶּיךָ. יְמֵי חַיֶּיךָ הַיָּמִים. כֹּל יְמֵי חַיֶּיךָ הַלֵּילוֹת. וַחֲכָמִים אוֹמְרִים יְמֵי חַיֶּיךָ הָעוֹלָם הַזֶּה. כֹּל יְמֵי חַיֶּיךָ לְהָבִיא לִימוֹת הַמָּשִׁיחַ:</t>
        </is>
      </c>
      <c r="F397" s="10" t="inlineStr"/>
      <c r="G397" s="14" t="inlineStr">
        <is>
          <t>Pesach Haggadah, Magid, Story of the Five Rabbis</t>
        </is>
      </c>
      <c r="H397" s="12" t="inlineStr">
        <is>
          <t>Pesach Haggadah — Public Domain</t>
        </is>
      </c>
      <c r="I397" s="12" t="inlineStr">
        <is>
          <t>sefaria-pesach-haggadah-magid-story-of-the-five-rabbis</t>
        </is>
      </c>
    </row>
    <row r="398" ht="250" customHeight="1">
      <c r="A398" s="7">
        <f>IF(LEN(TRIM(F398))=0,"Approved","Comment to address")</f>
        <v/>
      </c>
      <c r="B398" s="8" t="inlineStr">
        <is>
          <t>The Four Sons</t>
        </is>
      </c>
      <c r="C398" s="8" t="inlineStr">
        <is>
          <t>source</t>
        </is>
      </c>
      <c r="D398" s="8" t="inlineStr">
        <is>
          <t>Requires Edition Specific Identification</t>
        </is>
      </c>
      <c r="E398" s="9" t="inlineStr">
        <is>
          <t>בָּרוּךְ הַמָּקוֹם, בָּרוּךְ הוּא, בָּרוּךְ שֶׁנָּתַן תּוֹרָה לְעַמּוֹ יִשְׂרָאֵל, בָּרוּךְ הוּא. כְּנֶגֶד אַרְבָּעָה בָנִים דִּבְּרָה תוֹרָה: אֶחָד חָכָם, וְאֶחָד רָשָׁע, וְאֶחָד תָּם, וְאֶחָד שֶׁאֵינוֹ יוֹדֵעַ לִשְׁאוֹל.
חָכָם מָה הוּא אוֹמֵר? מָה הָעֵדוֹת וְהַחֻקִּים וְהַמִּשְׁפָּטִים אֲשֶׁר צִוָּה יְיָ אֱלֹהֵינוּ אֶתְכֶם. וְאַף אַתָּה אֱמוֹר לוֹ כְּהִלְכוֹת הַפֶּסַח: אֵין מַפְטִירִין אַחַר הַפֶּסַח אֲפִיקוֹמָן:
רָשָׁע מָה הוּא אוֹמֵר? מָה הָעֲבוֹדָה הַזּאֹת לָכֶם. לָכֶם – וְלֹא לוֹ. וּלְפִי שֶׁהוֹצִיא אֶת עַצְמוֹ מִן הַכְּלָל כָּפַר בְּעִקָּר. וְאַף אַתָּה הַקְהֵה אֶת שִׁנָּיו וֶאֱמוֹר לוֹ: "בַּעֲבוּר זֶה עָשָׂה יְיָ לִי בְּצֵאתִי מִמִּצְרָיִם". לִי וְלֹא־לוֹ. אִלּוּ הָיָה שָׁם, לֹא הָיָה נִגְאָל:
תָּם מָה הוּא אוֹמֵר? מַה זּאֹת. וְאָמַרְתָּ אֵלָיו "בְּחוֹזֶק יָד הוֹצִיאָנוּ יְיָ מִמִּצְרַיִם מִבֵּית עֲבָדִים".
וְשֶׁאֵינוֹ יוֹדֵעַ לִשְׁאוֹל – אַתְּ פְּתַח לוֹ, שֶׁנֶּאֱמַר, וְהִגַּדְתָּ לְבִנְךָ בַּיּוֹם הַהוּא לֵאמֹר, בַּעֲבוּר זֶה עָשָׂה יְיָ לִי בְּצֵאתִי מִמִּצְרָיִם.</t>
        </is>
      </c>
      <c r="F398" s="10" t="inlineStr"/>
      <c r="G398" s="11" t="inlineStr">
        <is>
          <t>Pesach Haggadah, Magid, The Four Sons</t>
        </is>
      </c>
      <c r="H398" s="8" t="inlineStr">
        <is>
          <t>Pesach Haggadah — Public Domain</t>
        </is>
      </c>
      <c r="I398" s="8" t="inlineStr">
        <is>
          <t>sefaria-pesach-haggadah-magid-the-four-sons</t>
        </is>
      </c>
    </row>
    <row r="399" ht="63" customHeight="1">
      <c r="A399" s="7">
        <f>IF(LEN(TRIM(F399))=0,"Approved","Comment to address")</f>
        <v/>
      </c>
      <c r="B399" s="12" t="inlineStr">
        <is>
          <t>Yechol Me'rosh Chodesh</t>
        </is>
      </c>
      <c r="C399" s="12" t="inlineStr">
        <is>
          <t>source</t>
        </is>
      </c>
      <c r="D399" s="12" t="inlineStr">
        <is>
          <t>Requires Edition Specific Identification</t>
        </is>
      </c>
      <c r="E399" s="13" t="inlineStr">
        <is>
          <t>יָכוֹל מֵראשׁ חֹדֶשׁ? תַּלְמוּד לוֹמַר בַּיּוֹם הַהוּא. אִי בַיּוֹם הַהוּא יָכוֹל מִבְּעוֹד יוֹם? תַּלְמוּד לוֹמַר בַּעֲבוּר זֶה – בַּעֲבוּר זֶה לֹא אָמַרְתִּי, אֶלָּא בְּשָׁעָה שֶׁיֵּשׁ מַצָּה וּמָרוֹר מֻנָּחִים לְפָנֶיךָ.</t>
        </is>
      </c>
      <c r="F399" s="10" t="inlineStr"/>
      <c r="G399" s="14" t="inlineStr">
        <is>
          <t>Pesach Haggadah, Magid, Yechol Me'rosh Chodesh</t>
        </is>
      </c>
      <c r="H399" s="12" t="inlineStr">
        <is>
          <t>Pesach Haggadah — Public Domain</t>
        </is>
      </c>
      <c r="I399" s="12" t="inlineStr">
        <is>
          <t>sefaria-pesach-haggadah-magid-yechol-me-rosh-chodesh</t>
        </is>
      </c>
    </row>
    <row r="400" ht="318" customHeight="1">
      <c r="A400" s="7">
        <f>IF(LEN(TRIM(F400))=0,"Approved","Comment to address")</f>
        <v/>
      </c>
      <c r="B400" s="8" t="inlineStr">
        <is>
          <t>In the Beginning Our Fathers Were Idol Worshipers</t>
        </is>
      </c>
      <c r="C400" s="8" t="inlineStr">
        <is>
          <t>source</t>
        </is>
      </c>
      <c r="D400" s="8" t="inlineStr">
        <is>
          <t>Requires Edition Specific Identification</t>
        </is>
      </c>
      <c r="E400" s="9" t="inlineStr">
        <is>
          <t>מִתְּחִלָּה עוֹבְדֵי עֲבוֹדָה זָרָה הָיוּ אֲבוֹתֵינוּ, וְעַכְשָׁיו קֵרְבָנוּ הַמָּקוֹם לַעֲבוֹדָתוֹ, שֶׁנֶּאֱמַר: וַיֹאמֶר יְהוֹשֻעַ אֶל־כָּל־הָעָם, כֹּה אָמַר יְיָ אֱלֹהֵי יִשְׂרָאֵל, בְּעֵבֶר הַנָּהָר יָשְׁבוּ אֲבוֹתֵיכֶם מֵעוֹלָם, תֶּרַח אֲבִי אַבְרָהָם וַאֲבִי נָחוֹר, וַיַּעַבְדוּ אֱלֹהִים אֲחֵרִים.
וָאֶקַּח אֶת־אֲבִיכֶם אֶת־אַבְרָהָם מֵעֵבֶר הַנָּהָר וָאוֹלֵךְ אוֹתוֹ בְּכָל־אֶרֶץ כְּנָעַן, וָאַרְבֶּה אֶת־זַרְעוֹ וָאֶתֶּן־לוֹ אֶת־יִצְחָק. וָאֶתֵּן לְיִצְחָק אֶת־יַעֲקֹב וְאֶת־עֵשָׂו, וָאֶתֵּן לְעֵשָׂו אֶת־הַר שֵּׂעִיר לָרֶשֶׁת אוֹתוֹ, וְיַעֲקֹב וּבָנָיו יָרְדוּ מִצְרָיִם.
בָּרוּךְ שׁוֹמֵר הַבְטָחָתוֹ לְיִשְׂרָאֵל, בָּרוּךְ הוּא. שֶׁהַקָּדוֹשׁ בָּרוּךְ הוּא חִשַּׁב אֶת־הַקֵּץ, לַעֲשׂוֹת כְּמוֹ שֶּׁאָמַר לְאַבְרָהָם אָבִינוּ בִּבְרִית בֵּין הַבְּתָרִים, שֶׁנֶּאֱמַר: וַיֹּאמֶר לְאַבְרָם, יָדֹעַ תֵּדַע כִּי־גֵר יִהְיֶה זַרְעֲךָ בְּאֶרֶץ לֹא לָהֶם, וַעֲבָדוּם וְעִנּוּ אֹתָם אַרְבַּע מֵאוֹת שָׁנָה. וְגַם אֶת־הַגּוֹי אֲשֶׁר יַעֲבֹדוּ דָּן אָנֹכִי וְאַחֲרֵי־כֵן יֵצְאוּ בִּרְכֻשׁ גָּדוֹל.
מכסה המצה ומגביה את הכוס בידו, ואומר:
וְהִיא שֶׁעָמְדָה לַאֲבוֹתֵינוּ וְלָנוּ. שֶׁלֹּא אֶחָד בִּלְבַד עָמַד עָלֵינוּ לְכַלּוֹתֵנוּ, אֶלָּא שֶׁבְּכָל דּוֹר וָדוֹר עוֹמְדִים עָלֵינוּ לְכַלוֹתֵנוּ, וְהַקָּדוֹשׁ בָּרוּךְ הוּא מַצִּילֵנוּ מִיָּדָם.</t>
        </is>
      </c>
      <c r="F400" s="10" t="inlineStr"/>
      <c r="G400" s="11" t="inlineStr">
        <is>
          <t>Pesach Haggadah, Magid, In the Beginning Our Fathers Were Idol Worshipers</t>
        </is>
      </c>
      <c r="H400" s="8" t="inlineStr">
        <is>
          <t>Pesach Haggadah — Public Domain</t>
        </is>
      </c>
      <c r="I400" s="8" t="inlineStr">
        <is>
          <t>sefaria-pesach-haggadah-magid-in-the-beginning-our-fathers-were-idol-worshipers</t>
        </is>
      </c>
    </row>
    <row r="401" ht="409" customHeight="1">
      <c r="A401" s="7">
        <f>IF(LEN(TRIM(F401))=0,"Approved","Comment to address")</f>
        <v/>
      </c>
      <c r="B401" s="12" t="inlineStr">
        <is>
          <t>Dayenu</t>
        </is>
      </c>
      <c r="C401" s="12" t="inlineStr">
        <is>
          <t>source</t>
        </is>
      </c>
      <c r="D401" s="12" t="inlineStr">
        <is>
          <t>Requires Edition Specific Identification</t>
        </is>
      </c>
      <c r="E401" s="13" t="inlineStr">
        <is>
          <t>כַּמָה מַעֲלוֹת טוֹבוֹת לַמָּקוֹם עָלֵינוּ!
אִלּוּ הוֹצִיאָנוּ מִמִּצְרַיִם וְלֹא עָשָׂה בָהֶם שְׁפָטִים, דַּיֵּנוּ.
אִלּוּ עָשָׂה בָהֶם שְׁפָטִים, וְלֹא עָשָׂה בֵאלֹהֵיהֶם, דַּיֵּנוּ.
אִלּוּ עָשָׂה בֵאלֹהֵיהֶם, וְלֹא הָרַג אֶת־בְּכוֹרֵיהֶם, דַּיֵּנוּ.
אִלּוּ הָרַג אֶת־בְּכוֹרֵיהֶם וְלֹא נָתַן לָנוּ אֶת־מָמוֹנָם, דַּיֵּנוּ.
אִלּוּ נָתַן לָנוּ אֶת־מָמוֹנָם וְלֹא קָרַע לָנוּ אֶת־הַיָּם, דַּיֵּנוּ.
אִלּוּ קָרַע לָנוּ אֶת־הַיָּם וְלֹא הֶעֱבִירָנוּ בְתוֹכוֹ בֶּחָרָבָה, דַּיֵּנוּ.
אִלּוּ הֶעֱבִירָנוּ בְתוֹכוֹ בֶּחָרָבָה וְלֹא שִׁקַּע צָרֵנוּ בְתוֹכוֹ דַּיֵּנוּ.
אִלּוּ שִׁקַּע צָרֵנוּ בְתוֹכוֹ וְלֹא סִפֵּק צָרְכֵּנוּ בַּמִדְבָּר אַרְבָּעִים שָׁנָה דַּיֵּנוּ.
אִלּוּ סִפֵּק צָרְכֵּנוּ בַּמִּדְבָּר אַרְבָּעִים שָׁנָה וְלֹא הֶאֱכִילָנוּ אֶת־הַמָּן דַּיֵּנוּ.
אִלּוּ הֶאֱכִילָנוּ אֶת־הַמָּן וְלֹא נָתַן לָנוּ אֶת־הַשַּׁבָּת, דַּיֵּנוּ.
אִלּוּ נָתַן לָנוּ אֶת־הַשַּׁבָּת, וְלֹא קֵרְבָנוּ לִפְנֵי הַר סִינַי, דַּיֵּנוּ.
אִלּוּ קֵרְבָנוּ לִפְנֵי הַר סִינַי, וְלא נָתַן לָנוּ אֶת־הַתּוֹרָה. דַּיֵּנוּ.
אִלּוּ נָתַן לָנוּ אֶת־הַתּוֹרָה וְלֹא הִכְנִיסָנוּ לְאֶרֶץ יִשְׂרָאֵל, דַּיֵּנוּ.
אִלּוּ הִכְנִיסָנוּ לְאֶרֶץ יִשְׂרָאֵל וְלֹא בָנָה לָּנוּ אֶת־בֵּית הַבְּחִירָה דַּיֵּנוּ.
עַל אַחַת, כַּמָה וְכַמָה, טוֹבָה כְפוּלָה וּמְכֻפֶּלֶת לַמָּקוֹם עָלֵינוּ: שֶׁהוֹצִיאָנוּ מִמִּצְרַיִם, וְעָשָׂה בָהֶם שְׁפָטִים, וְעָשָׂה בֵאלֹהֵיהֶם, וְהָרַג אֶת־בְּכוֹרֵיהֶם, וְנָתַן לָנוּ אֶת־מָמוֹנָם, וְקָרַע לָנוּ אֶת־הַיָּם, וְהֶעֱבִירָנוּ בְתוֹכוֹ בֶּחָרָבָה, וְשִׁקַּע צָרֵנוּ בְתוֹכוֹ, וְסִפֵּק צָרְכֵּנוּ בַּמִדְבָּר אַרְבָּעִים שָׁנָה, וְהֶאֱכִילָנוּ אֶת־הַמָּן, וְנָתַן לָנוּ אֶת־הַשַּׁבָּת, וְקֵרְבָנוּ לִפְנֵי הַר סִינַי, וְנָתַן לָנוּ אֶת־הַתּוֹרָה, וְהִכְנִיסָנוּ לְאֶרֶץ יִשְׂרָאֵל, וּבָנָה לָּנוּ אֶת־בֵּית הַבְּחִירָה לְכַפֵּר עַל־כָּל־עֲוֹנוֹתֵינוּ.</t>
        </is>
      </c>
      <c r="F401" s="10" t="inlineStr"/>
      <c r="G401" s="14" t="inlineStr">
        <is>
          <t>Pesach Haggadah, Magid, Dayenu</t>
        </is>
      </c>
      <c r="H401" s="12" t="inlineStr">
        <is>
          <t>Pesach Haggadah — Public Domain</t>
        </is>
      </c>
      <c r="I401" s="12" t="inlineStr">
        <is>
          <t>sefaria-pesach-haggadah-magid-dayenu</t>
        </is>
      </c>
    </row>
    <row r="402" ht="409" customHeight="1">
      <c r="A402" s="7">
        <f>IF(LEN(TRIM(F402))=0,"Approved","Comment to address")</f>
        <v/>
      </c>
      <c r="B402" s="8" t="inlineStr">
        <is>
          <t>Rabban Gamliel's Three Things</t>
        </is>
      </c>
      <c r="C402" s="8" t="inlineStr">
        <is>
          <t>source</t>
        </is>
      </c>
      <c r="D402" s="8" t="inlineStr">
        <is>
          <t>Requires Edition Specific Identification</t>
        </is>
      </c>
      <c r="E402" s="9" t="inlineStr">
        <is>
          <t>רַבָּן גַּמְלִיאֵל הָיָה אוֹמֵר: כָּל שֶׁלֹּא אָמַר שְׁלֹשָׁה דְּבָרִים אֵלּוּ בַּפֶּסַח, לֹא יָצָא יְדֵי חוֹבָתוֹ, וְאֵלּוּ הֵן: פֶּסַח, מַצָּה, וּמָרוֹר.
פֶּסַח שֶׁהָיוּ אֲבוֹתֵינוּ אוֹכְלִים בִּזְמַן שֶׁבֵּית הַמִּקְדָּשׁ הָיָה קַיָּם, עַל שׁוּם מָה? עַל שׁוּם שֶׁפָּסַח הַקָּדוֹשׁ בָּרוּךְ הוּא עַל בָּתֵּי אֲבוֹתֵינוּ בְּמִצְרַיִם, שֶׁנֶּאֱמַר: וַאֲמַרְתֶּם זֶבַח־פֶּסַח הוּא לַייָ, אֲשֶׁר פָּסַח עַל־בָּתֵּי בְנֵי־יִשְׂרָאֵל בְּמִצְרַיִם בְּנָגְפּוֹ אֶת־מִצְרַיִם, וְאֶת־בָּתֵּינוּ הִצִּיל, וַיִּקֹּד הָעָם וַיִּשְׁתַּחֲווּ.
אוחז המצה בידו ומראה אותה למסובין:
מַצָּה זוֹ שֶׁאָנוּ אוֹכְלִים, עַל שׁוּם מַה? עַל שׁוּם שֶׁלֹּא הִסְפִּיק בְּצֵקָם שֶׁל אֲבוֹתֵינוּ לְהַחֲמִיץ עַד שֶׁנִּגְלָה עֲלֵיהֶם מֶלֶךְ מַלְכֵי הַמְּלָכִים, הַקָּדוֹשׁ בָּרוּךְ הוּא, וּגְאָלָם, שֶׁנֶּאֱמַר: וַיֹּאפוּ אֶת־הַבָּצֵק אֲשֶׁר הוֹצִיאוּ מִמִּצְרַיִם עֻגֹת מַצּוֹת, כִּי לֹא חָמֵץ, כִּי גֹרְשׁוּ מִמִּצְרַיִם וְלֹא יָכְלוּ לְהִתְמַהְמֵהַּ, וְגַם־צֵדָה לֹא־עָשׂוּ לָהֶם.
אוחז המרור בידו ומראה אותו למסובין:
מָרוֹר זֶה שֶׁאָנוּ אוֹכְלִים, עַל שׁוּם מַה? עַל שׁוּם שֶׁמֵּרְרוּ הַמִּצְרִים אֶת־חַיֵּי אֲבוֹתֵינוּ בְּמִצְרַיִם, שֶׁנֶּאֱמַר: וַיְמָרְרוּ אֶת־חַיֵּיהם בַּעֲבֹדָה קָשָה, בְּחֹמֶר וּבִלְבֵנִים וּבְכָל־עֲבֹדָה בַּשָּׂדֶה אֶת כָּל עֲבֹדָתָם אֲשֶׁר־עָבְדוּ בָהֶם בְּפָרֶךְ.
בְּכָל־דּוֹר וָדוֹר חַיָּב אָדָם לִרְאוֹת אֶת־עַצְמוֹ כְּאִלּוּ הוּא יָצָא מִמִּצְרַיִם, שֶׁנֶּאֱמַר: וְהִגַּדְתָּ לְבִנְךָ בַּיּוֹם הַהוּא לֵאמֹר, בַּעֲבוּר זֶה עָשָׂה יְיָ לִי בְּצֵאתִי מִמִּצְרַיִם. לֹא אֶת־אֲבוֹתֵינוּ בִּלְבַד גָּאַל הַקָּדוֹשׁ בָּרוּךְ הוּא, אֶלָּא אַף אוֹתָנוּ גָּאַל עִמָּהֶם, שֶׁנֶּאֱמַר: וְאוֹתָנוּ הוֹצִיא מִשָּׁם, לְמַעַן הָבִיא אוֹתָנוּ, לָתֶת לָנוּ אֶת־הָאָרֶץ אֲשֶׁר נִשְׁבַּע לַאֲבֹתֵינוּ.</t>
        </is>
      </c>
      <c r="F402" s="10" t="inlineStr"/>
      <c r="G402" s="11" t="inlineStr">
        <is>
          <t>Pesach Haggadah, Magid, Rabban Gamliel's Three Things</t>
        </is>
      </c>
      <c r="H402" s="8" t="inlineStr">
        <is>
          <t>Pesach Haggadah — Public Domain</t>
        </is>
      </c>
      <c r="I402" s="8" t="inlineStr">
        <is>
          <t>sefaria-pesach-haggadah-magid-rabban-gamliel-s-three-things</t>
        </is>
      </c>
    </row>
    <row r="403" ht="318" customHeight="1">
      <c r="A403" s="7">
        <f>IF(LEN(TRIM(F403))=0,"Approved","Comment to address")</f>
        <v/>
      </c>
      <c r="B403" s="12" t="inlineStr">
        <is>
          <t>First Half of Hallel</t>
        </is>
      </c>
      <c r="C403" s="12" t="inlineStr">
        <is>
          <t>source</t>
        </is>
      </c>
      <c r="D403" s="12" t="inlineStr">
        <is>
          <t>Requires Edition Specific Identification</t>
        </is>
      </c>
      <c r="E403" s="13" t="inlineStr">
        <is>
          <t>יאחז הכוס בידו ויכסה המצות ויאמר:
לְפִיכָךְ אֲנַחְנוּ חַיָּבִים לְהוֹדוֹת, לְהַלֵּל, לְשַׁבֵּחַ, לְפָאֵר, לְרוֹמֵם, לְהַדֵּר, לְבָרֵךְ, לְעַלֵּה, וּלְקַלֵּס לְמִי שֶׁעָשָׂה לַאֲבוֹתֵינוּ וְלָנוּ אֶת־כָּל־הַנִסִּים הָאֵלּוּ: הוֹצִיאָנוּ מֵעַבְדוּת לְחֵרוּת, מִיָּגוֹן לְשִׂמְחָה, וּמֵאֵבֶל לְיוֹם טוֹב, וּמֵאֲפֵלָה לְאוֹר גָּדוֹל, וּמִשִּׁעְבּוּד לִגְאֻלָּה. וְנֹאמַר לְפָנָיו שִׁירָה חֲדָשָׁה: הַלְלוּ יָהּ.
הַלְלוּ יָהּ הַלְלוּ עַבְדֵי יְיָ, הַלְלוּ אֶת־שֵׁם יְיָ. יְהִי שֵׁם יְיָ מְבֹרָךְ מֵעַתָּה וְעַד־עוֹלָם. מִמִּזְרַח־שֶׁמֶשׁ עַד־מְבוֹאוֹ מְהֻלָּל שֵׁם יְיָ. רָם עַל־כָּל־גּוֹיִם יְיָ, עַל הַשָּׁמַיִם כְּבוֹדוֹ. מִי כַּייָ אֱלֹהֵינוּ הַמַּגְבִּיהִי לָשָׁבֶת. הַמַּשְׁפִּילִי לִרְאוֹת בַּשָּׁמַיִם וּבָאָרֶץ. מְקִימִי מֵעָפָר דָּל, מֵאַשְׁפֹּת יָרִים אֶבְיוֹן. לְהוֹשִׁיבִי עִם־נְדִיבִים, עִם נְדִיבֵי עַמּוֹ. מוֹשִׁיבִי עֲקֶרֶת הַבַּיִת, אֵם־הַבָּנִים שְׂמֵחָה, הַלְלוּ־יָהּ.
בְּצֵאת יִשְׂרָאֵל מִמִּצְרַיִם, בֵּית יַעֲקֹב מֵעַם לֹעֵז. הָיְתָה יְהוּדָה לְקָדְשׁוֹ, יִשְׂרָאֵל מַמְשְׁלוֹתָיו. הַיָּם רָאָה וַיָּנֹס, הַיַּרְדֵּן יִסֹּב לְאָחוֹר. הֶהָרִים רָקְדוּ כְאֵילִים, גְּבָעוֹת כִּבְנֵי צֹאן. מַה־לְּךָ הַיָּם כִּי תָנוּס, הַיַּרְדֵּן – תִּסֹּב לְאָחוֹר. הֶהָרִים – תִּרְקְדוּ כְאֵילִים, גְּבָעוֹת כִּבְנֵי־צֹאן. מִלְּפְנֵי אָדוֹן חוּלִי אָרֶץ, מִלְּפְנֵי אֱלוֹהַּ יַעֲקֹב. הַהֹפְכִי הַצּוּר אֲגַם־מָיִם, חַלָּמִיש לְמַעְיְנוֹ־מָיִם.</t>
        </is>
      </c>
      <c r="F403" s="10" t="inlineStr"/>
      <c r="G403" s="14" t="inlineStr">
        <is>
          <t>Pesach Haggadah, Magid, First Half of Hallel</t>
        </is>
      </c>
      <c r="H403" s="12" t="inlineStr">
        <is>
          <t>Pesach Haggadah — Public Domain</t>
        </is>
      </c>
      <c r="I403" s="12" t="inlineStr">
        <is>
          <t>sefaria-pesach-haggadah-magid-first-half-of-hallel</t>
        </is>
      </c>
    </row>
    <row r="404" ht="182" customHeight="1">
      <c r="A404" s="7">
        <f>IF(LEN(TRIM(F404))=0,"Approved","Comment to address")</f>
        <v/>
      </c>
      <c r="B404" s="8" t="inlineStr">
        <is>
          <t>Second Cup of Wine</t>
        </is>
      </c>
      <c r="C404" s="8" t="inlineStr">
        <is>
          <t>food</t>
        </is>
      </c>
      <c r="D404" s="8" t="inlineStr">
        <is>
          <t>Requires Edition Specific Identification</t>
        </is>
      </c>
      <c r="E404" s="9" t="inlineStr">
        <is>
          <t>מגביהים את הכוס עד גאל ישראל.
בָּרוּךְ אַתָּה יְיָ אֱלֹהֵינוּ מֶלֶךְ הָעוֹלָם, אֲשֶׁר גְּאָלָנוּ וְגָאַל אֶת־אֲבוֹתֵינוּ מִמִּצְרַיִם, וְהִגִּיעָנוּ הַלַּיְלָה הַזֶּה לֶאֱכָל־בּוֹ מַצָּה וּמָרוֹר. כֵּן יְיָ אֱלֹהֵינוּ וֵאלֹהֵי אֲבוֹתֵינוּ יַגִּיעֵנוּ לְמוֹעֲדִים וְלִרְגָלִים אֲחֵרִים הַבָּאִים לִקְרָאתֵנוּ לְשָׁלוֹם, שְׂמֵחִים בְּבִנְיַן עִירֶךָ וְשָׂשִׂים בַּעֲבוֹדָתֶךָ. וְנֹאכַל שָׁם מִן הַזְּבָחִים וּמִן הַפְּסָחִים אֲשֶׁר יַגִּיעַ דָּמָם עַל קִיר מִזְבַּחֲךָ לְרָצוֹן, וְנוֹדֶה לְךָ שִׁיר חָדָש עַל גְּאֻלָּתֵנוּ וְעַל פְּדוּת נַפְשֵׁנוּ. בָּרוּךְ אַתָּה יְיָ, גָּאַל יִשְׂרָאֵל.
שותים את הכוס בהסבת שמאל.
בָּרוּךְ אַתָּה יְיָ, אֱלֹהֵינוּ מֶלֶךְ הָעוֹלָם בּוֹרֵא פְּרִי הַגָּפֶן.</t>
        </is>
      </c>
      <c r="F404" s="10" t="inlineStr"/>
      <c r="G404" s="11" t="inlineStr">
        <is>
          <t>Pesach Haggadah, Magid, Second Cup of Wine</t>
        </is>
      </c>
      <c r="H404" s="8" t="inlineStr">
        <is>
          <t>Pesach Haggadah — Public Domain</t>
        </is>
      </c>
      <c r="I404" s="8" t="inlineStr">
        <is>
          <t>sefaria-pesach-haggadah-magid-second-cup-of-wine</t>
        </is>
      </c>
    </row>
    <row r="405" ht="80" customHeight="1">
      <c r="A405" s="7">
        <f>IF(LEN(TRIM(F405))=0,"Approved","Comment to address")</f>
        <v/>
      </c>
      <c r="B405" s="12" t="inlineStr">
        <is>
          <t>Rachtzah</t>
        </is>
      </c>
      <c r="C405" s="12" t="inlineStr">
        <is>
          <t>source</t>
        </is>
      </c>
      <c r="D405" s="12" t="inlineStr">
        <is>
          <t>Requires Edition Specific Identification</t>
        </is>
      </c>
      <c r="E405" s="13" t="inlineStr">
        <is>
          <t>רָחְצָה
נוטלים את הידים ומברכים:
בָּרוּךְ אַתָּה יְיָ, אֱלֹהֵינוּ מֶלֶךְ הָעוֹלָם, אֲשֶׁר קִדְּשָׁנוּ בְמִצְוֹתָיו וְצִוָּנוּ עַל נְטִילַת יָדַיִם.</t>
        </is>
      </c>
      <c r="F405" s="10" t="inlineStr"/>
      <c r="G405" s="14" t="inlineStr">
        <is>
          <t>Pesach Haggadah, Rachtzah</t>
        </is>
      </c>
      <c r="H405" s="12" t="inlineStr">
        <is>
          <t>Pesach Haggadah — Public Domain</t>
        </is>
      </c>
      <c r="I405" s="12" t="inlineStr">
        <is>
          <t>sefaria-pesach-haggadah-rachtzah</t>
        </is>
      </c>
    </row>
    <row r="406" ht="46" customHeight="1">
      <c r="A406" s="7">
        <f>IF(LEN(TRIM(F406))=0,"Approved","Comment to address")</f>
        <v/>
      </c>
      <c r="B406" s="8" t="inlineStr">
        <is>
          <t>Shulchan Orech</t>
        </is>
      </c>
      <c r="C406" s="8" t="inlineStr">
        <is>
          <t>source</t>
        </is>
      </c>
      <c r="D406" s="8" t="inlineStr">
        <is>
          <t>Requires Edition Specific Identification</t>
        </is>
      </c>
      <c r="E406" s="9" t="inlineStr">
        <is>
          <t>שֻׁלְחָן עוֹרֵךְ
אוכלים ושותים.</t>
        </is>
      </c>
      <c r="F406" s="10" t="inlineStr"/>
      <c r="G406" s="11" t="inlineStr">
        <is>
          <t>Pesach Haggadah, Shulchan Orech</t>
        </is>
      </c>
      <c r="H406" s="8" t="inlineStr">
        <is>
          <t>Pesach Haggadah — Public Domain</t>
        </is>
      </c>
      <c r="I406" s="8" t="inlineStr">
        <is>
          <t>sefaria-pesach-haggadah-shulchan-orech</t>
        </is>
      </c>
    </row>
    <row r="407" ht="46" customHeight="1">
      <c r="A407" s="7">
        <f>IF(LEN(TRIM(F407))=0,"Approved","Comment to address")</f>
        <v/>
      </c>
      <c r="B407" s="12" t="inlineStr">
        <is>
          <t>Third Cup of Wine</t>
        </is>
      </c>
      <c r="C407" s="12" t="inlineStr">
        <is>
          <t>food</t>
        </is>
      </c>
      <c r="D407" s="12" t="inlineStr">
        <is>
          <t>Requires Edition Specific Identification</t>
        </is>
      </c>
      <c r="E407" s="13" t="inlineStr">
        <is>
          <t>בָּרוּךְ אַתָּה יְיָ, אֱלֹהֵינוּ מֶלֶךְ הָעוֹלָם, בּוֹרֵא פְּרִי הַגָּפֶן.
ושותים בהסיבה ואינו מברך ברכה אחרונה.</t>
        </is>
      </c>
      <c r="F407" s="10" t="inlineStr"/>
      <c r="G407" s="14" t="inlineStr">
        <is>
          <t>Pesach Haggadah, Barech, Third Cup of Wine</t>
        </is>
      </c>
      <c r="H407" s="12" t="inlineStr">
        <is>
          <t>Pesach Haggadah — Public Domain</t>
        </is>
      </c>
      <c r="I407" s="12" t="inlineStr">
        <is>
          <t>sefaria-pesach-haggadah-barech-third-cup-of-wine</t>
        </is>
      </c>
    </row>
    <row r="408" ht="97" customHeight="1">
      <c r="A408" s="7">
        <f>IF(LEN(TRIM(F408))=0,"Approved","Comment to address")</f>
        <v/>
      </c>
      <c r="B408" s="8" t="inlineStr">
        <is>
          <t>Pour Out Thy Wrath</t>
        </is>
      </c>
      <c r="C408" s="8" t="inlineStr">
        <is>
          <t>source</t>
        </is>
      </c>
      <c r="D408" s="8" t="inlineStr">
        <is>
          <t>Requires Edition Specific Identification</t>
        </is>
      </c>
      <c r="E408" s="9" t="inlineStr">
        <is>
          <t>מוזגים כוס של אליהו ופותחים את הדלת:
שְׁפֹךְ חֲמָתְךָ אֶל־הַגּוֹיִם אֲשֶׁר לֹא יְדָעוּךָ וְעַל־מַמְלָכוֹת אֲשֶׁר בְּשִׁמְךָ לֹא קָרָאוּ. כִּי אָכַל אֶת־יַעֲקֹב וְאֶת־נָוֵהוּ הֵשַׁמּוּ. שְׁפָךְ־עֲלֵיהֶם זַעֲמֶךָ וַחֲרוֹן אַפְּךָ יַשִּׂיגֵם. תִּרְדֹף בְּאַף וְתַשְׁמִידֵם מִתַּחַת שְׁמֵי יְיָ.</t>
        </is>
      </c>
      <c r="F408" s="10" t="inlineStr"/>
      <c r="G408" s="11" t="inlineStr">
        <is>
          <t>Pesach Haggadah, Barech, Pour Out Thy Wrath</t>
        </is>
      </c>
      <c r="H408" s="8" t="inlineStr">
        <is>
          <t>Pesach Haggadah — Public Domain</t>
        </is>
      </c>
      <c r="I408" s="8" t="inlineStr">
        <is>
          <t>sefaria-pesach-haggadah-barech-pour-out-thy-wrath</t>
        </is>
      </c>
    </row>
    <row r="409" ht="409" customHeight="1">
      <c r="A409" s="7">
        <f>IF(LEN(TRIM(F409))=0,"Approved","Comment to address")</f>
        <v/>
      </c>
      <c r="B409" s="12" t="inlineStr">
        <is>
          <t>Songs of Praise and Thanks</t>
        </is>
      </c>
      <c r="C409" s="12" t="inlineStr">
        <is>
          <t>thanks</t>
        </is>
      </c>
      <c r="D409" s="12" t="inlineStr">
        <is>
          <t>Requires Edition Specific Identification</t>
        </is>
      </c>
      <c r="E409" s="13" t="inlineStr">
        <is>
          <t>הוֹדוּ לַייָ כִּי־טוֹב כִּי לְעוֹלָם חַסְדּוֹ. הוֹדוּ לֵאלֹהֵי הָאֱלֹהִים כִּי לְעוֹלָם חַסְדּוֹ. הוֹדוּ לַאֲדֹנֵי הָאֲדֹנִים כִּי לְעוֹלָם חַסְדּוֹ. לְעֹשֵׂה נִפְלָאוֹת גְדֹלוֹת לְבַדּוֹ כִּי לְעוֹלָם חַסְדּוֹ. לְעֹשֵׂה הַשָּׁמַיִם בִּתְבוּנָה כִּי לְעוֹלָם חַסְדּוֹ. לְרוֹקַע הָאָרֶץ עַל־הַמָּיִם כִּי לְעוֹלָם חַסְדּוֹ. לְעֹשֵׂה אוֹרִים גְּדֹלִים כִּי לְעוֹלָם חַסְדּוֹ. אֶת־הַשֶּׁמֶשׁ לְמֶמְשֶׁלֶת בַּיּוֹם כִּי לְעוֹלָם חַסְדּוֹ. אֶת־הַיָּרֵחַ וְכוֹכָבִים לְמֶמְשְׁלוֹת בַּלַּיְלָה כִּי לְעוֹלָם חַסְדּוֹ. לְמַכֵּה מִצְרַיִם בִּבְכוֹרֵיהֶם כִּי לְעוֹלָם חַסְדּוֹ. וַיּוֹצֵא יִשְׂרָאֵל מִתּוֹכָם כִּי לְעוֹלָם חַסְדּוֹ. בְּיָד חֲזָקָה וּבִזְרוֹעַ נְטוּיָה כִּי לְעוֹלָם חַסְדּוֹ. לְגֹזֵר־יַם סוּף לִגְזָרִים כִּי לְעוֹלָם חַסְדּוֹ. וְהֶעֱבִיר יִשְׂרָאֵל בְּתוֹכוֹ כִּי לְעוֹלָם חַסְדּוֹ. וְנִעֵר פַּרְעֹה וְחֵילוֹ בְיַם־סוּף כִּי לְעוֹלָם חַסְדּוֹ. לְמוֹלִיךְ עַמּוֹ בַּמִּדְבָּר כִּי לְעוֹלָם חַסְדּוֹ. לְמַכֵּה מְלָכִים גְּדֹלִים כִּי לְעוֹלָם חַסְדּוֹ. וַיַּהֲרֹג מְלָכִים אַדִּירִים כִּי לְעוֹלָם חַסְדּוֹ. לְסִיחוֹן מֶלֶךְ הָאֱמֹרִי כִּי לְעוֹלָם חַסְדּוֹ. וּלְעוֹג מֶלֶךְ הַבָּשָׁן כִּי לְעוֹלָם חַסְדּוֹ. וָנָתַן אַרְצָם לְנַחֲלָה כִּי לְעוֹלָם חַסְדּוֹ. נַחֲלָה לְיִשְׂרָאֵל עַבְדוֹ כִּי לְעוֹלָם חַסְדּוֹ. שֶׁבְּשִׁפְלֵנוּ זָכַר לָנוּ כִּי לְעוֹלָם חַסְדּוֹ. וַיִפְרְקֵנוּ מִצָּרֵינוּ כִּי לְעוֹלָם חַסְדּוֹ. נֹתֵן לֶחֶם לְכָל־בָּשָׂר כִּי לְעוֹלָם חַסְדּוֹ. הוֹדוּ לְאֵל הַשָּׁמַיִם כִּי לְעוֹלָם חַסְדּוֹ.
נִשְׁמַת כָּל חַי תְּבָרֵךְ אֶת שִׁמְךָ, יְיָ אֱלֹהֵינוּ, וְרוּחַ כָּל בָּשָׂר תְּפָאֵר וּתְרוֹמֵם זִכְרְךָ, מַלְכֵּנוּ, תָּמִיד. מִן הָעוֹלָם וְעַד הָעוֹלָם אַתָּה אֵל, וּמִבַּלְעָדֶיךָ אֵין לָנוּ מֶלֶךְ גּוֹאֵל וּמוֹשִיעַ, פּוֹדֶה וּמַצִּיל וּמְפַרְנֵס וּמְרַחֵם בְּכָל עֵת צָרָה וְצוּקָה. אֵין לָנוּ מֶלֶךְ אֶלָּא אַתָּה. אֱלֹהֵי הָרִאשׁוֹנִים וְהָאַחֲרוֹנִים, אֱלוֹהַּ כָּל בְּרִיּוֹת, אֲדוֹן כָּל תּוֹלָדוֹת, הַמְּהֻלָּל בְּרֹב הַתִּשְׁבָּחוֹת, הַמְּנַהֵג עוֹלָמוֹ בְּחֶסֶד וּבְרִיּוֹתָיו בְּרַחֲמִים. וַייָ לֹא יָנוּם וְלא יִישָׁן – הַמְּעוֹרֵר יְשֵׁנִים וְהַמֵּקִיץ נִרְדָּמִים, וְהַמֵּשִׂיחַ אִלְּמִים וְהַמַּתִּיר אֲסוּרִים וְהַסּוֹמֵךְ נוֹפְלִים וְהַזּוֹקֵף כְּפוּפִים. לְךָ לְבַדְּךָ אֲנַחְנוּ מוֹדִים.
אִלּוּ פִינוּ מָלֵא שִׁירָה כַיָּם, וּלְשׁוֹנֵנוּ רִנָּה כֲּהַמוֹן גַּלָּיו, וְשִׂפְתוֹתֵינוּ שֶׁבַח כְּמֶרְחֲבֵי רָקִיעַ, וְעֵינֵינוּ מְאִירוֹת כַּשֶּׁמֶשׁ וְכַיָּרֵחַ, וְיָדֵינוּ פְרוּשׂות כְּנִשְׁרֵי שָׁמַיִם, וְרַגְלֵינוּ קַלּוֹת כָּאַיָּלוֹת – אֵין אֲנַחְנוּ מַסְפִּיקִים לְהוֹדוֹת לְךָ, יְיָ אֱלֹהֵינוּ וֵאלֹהֵי אֲבוֹתֵינוּ, וּלְבָרֵךְ אֶת שִׁמְךָ עַל אַחַת מֵאֶלֶף, אַלְפֵי אֲלָפִים וְרִבֵּי רְבָבוֹת פְּעָמִים הַטּוֹבוֹת שֶׁעָשִׂיתָ עִם אֲבוֹתֵינוּ וְעִמָּנוּ. מִמִּצְרַים גְּאַלְתָּנוּ, יְיָ אֱלֹהֵינוּ, וּמִבֵּית עֲבָדִים פְּדִיתָנוּ, בְּרָעָב זַנְתָּנוּ וּבְשָׂבָע כִּלְכַּלְתָּנוּ, מֵחֶרֶב הִצַּלְתָּנוּ וּמִדֶּבֶר מִלַּטְתָּנוּ, וּמֵחֳלָיִם רָעִים וְנֶאֱמָנִים דִּלִּיתָנוּ.
עַד הֵנָּה עֲזָרוּנוּ רַחֲמֶיךָ וְלֹא עֲזָבוּנוּ חֲסָדֶיךָ, וְאַל תִּטְּשֵׁנוּ, יְיָ אֱלֹהֵינוּ, לָנֶצַח. עַל כֵּן אֵבָרִים שֶׁפִּלַּגְתָּ בָּנוּ וְרוּחַ וּנְשָׁמָה שֶׁנָּפַחְתָּ בְּאַפֵּינוּ וְלָשׁוֹן אֲשֶׁר שַׂמְתָּ בְּפִינוּ – הֵן הֵם יוֹדוּ וִיבָרְכוּ וִישַׁבְּחוּ וִיפָאֲרוּ וִירוֹמְמוּ וְיַעֲרִיצוּ וְיַקְדִּישׁוּ וְיַמְלִיכוּ אֶת שִׁמְךָ מַלְכֵּנוּ. כִּי כָל פֶּה לְךָ יוֹדֶה, וְכָל לָשׁוֹן לְךָ תִּשָּׁבַע, וְכָל בֶּרֶךְ לְךָ תִכְרַע, וְכָל קוֹמָה לְפָנֶיךָ תִשְׁתַּחֲוֶה, וְכָל לְבָבוֹת יִירָאוּךָ, וְכָל קֶרֶב וּכְלָיּוֹת יְזַמֵּרוּ לִשְמֶךָ. כַּדָּבָר שֶׁכָּתוּב, כָּל עַצְמֹתַי תֹּאמַרְנָה, יְיָ מִי כָמוֹךָ מַצִּיל עָנִי מֵחָזָק מִמֶּנוּ, וְעָנִי וְאֶבְיוֹן מִגֹּזְלוֹ. מִי יִדְמֶה לָּךְ וּמִי יִשְׁוֶה לָּךְ וּמִי יַעֲרֹךְ לָךְ הָאֵל הַגָּדוֹל, הַגִּבּוֹר וְהַנּוֹרָא, אֵל עֶלְיוֹן, קֹנֵה שָׁמַיִם וָאָרֶץ. נְהַלֶּלְךָ וּנְשַׁבֵּחֲךָ וּנְפָאֶרְךָ וּנְבָרֵךְ אֶת שֵׁם קָדְשֶׁךָ, כָּאָמוּר: לְדָוִד, בָּרְכִי נַפְשִׁי אֶת־יְיָ וְכָל־קְרָבַי אֶת שֵׁם קָדְשׁוֹ. הָאֵל בְּתַעֲצֻמוֹת עֻזֶּךָ, הַגָּדוֹל בִּכְבוֹד שְׁמֶךָ, הַגִּבּוֹר לָנֶצַח וְהַנּוֹרָא בְּנוֹרְאוֹתֶיךָ, הַמֶּלֶךְ הַיּוֹשֵׁב עַל כִּסֵּא רָם וְנִשָׂא. שׁוֹכֵן עַד מָרוֹם וְקָדוֹשׁ שְׁמוֹ. וְכָתוּב: רַנְּנוּ צַדִּיקִים בַּייָ, לַיְשָׁרִים נָאוָה תְהִלָּה. בְּפִי יְשָׁרִים תִּתְהַלָּל, וּבְדִבְרֵי צַדִּיקִים תִּתְבָּרַךְ, וּבִלְשׁוֹן חֲסִידִים תִּתְרוֹמָם, וּבְקֶרֶב קְדוֹשִׁים תִּתְקַדָּשׁ.
וּבְמַקְהֲלוֹת רִבְבוֹת עַמְּךָ בֵּית יִשְׂרָאֵל בְּרִנָּה יִתְפָּאֵר שִׁמְךָ, מַלְכֵּנוּ, בְּכָל דּוֹר וָדוֹר, שֶׁכֵּן חוֹבַת כָּל הַיְצוּרִים לְפָנֶיךָ, יְיָ אֱלֹהֵינוּ וֵאלֹהֵי אֲבוֹתֵינוּ, לְהוֹדוֹת לְהַלֵּל לְשַׁבֵּחַ, לְפָאֵר לְרוֹמֵם לְהַדֵּר לְבָרֵךְ, לְעַלֵּה וּלְקַלֵּס עַל כָּל דִּבְרֵי שִׁירוֹת וְתִשְׁבְּחוֹת דָּוִד בֶּן יִשַׁי עַבְדְּךָ מְשִׁיחֶךָ.
יִשְׁתַּבַּח שִׁמְךָ לָעַד מַלְכֵּנוּ, הָאֵל הַמֶלֶךְ הַגָּדוֹל וְהַקָּדוֹשׁ בַּשָּׁמַיִם וּבָאָרֶץ, כִּי לְךָ נָאֶה, יְיָ אֱלֹהֵינוּ וֵאלֹהֵי אֲבוֹתֵינוּ, שִׁיר וּשְׁבָחָה, הַלֵּל וְזִמְרָה, עֹז וּמֶמְשָׁלָה, נֶצַח, גְּדֻלָּה וּגְבוּרָה, תְּהִלָּה וְתִפְאֶרֶת, קְדֻשָּׁה וּמַלְכוּת, בְּרָכוֹת וְהוֹדָאוֹת מֵעַתָּה וְעַד עוֹלָם. בָּרוּךְ אַתָּה יְיָ, אֵל מֶלֶךְ גָּדוֹל בַּתִּשְׁבָּחוֹת, אֵל הַהוֹדָאוֹת, אֲדוֹן הַנִפְלָאוֹת, הַבּוֹחֵר בְּשִׁירֵי זִמְרָה, מֶלֶךְ אֵל חֵי הָעוֹלָמִים.</t>
        </is>
      </c>
      <c r="F409" s="10" t="inlineStr"/>
      <c r="G409" s="14" t="inlineStr">
        <is>
          <t>Pesach Haggadah, Hallel, Songs of Praise and Thanks</t>
        </is>
      </c>
      <c r="H409" s="12" t="inlineStr">
        <is>
          <t>Pesach Haggadah — Public Domain</t>
        </is>
      </c>
      <c r="I409" s="12" t="inlineStr">
        <is>
          <t>sefaria-pesach-haggadah-hallel-songs-of-praise-and-thanks</t>
        </is>
      </c>
    </row>
    <row r="410" ht="80" customHeight="1">
      <c r="A410" s="7">
        <f>IF(LEN(TRIM(F410))=0,"Approved","Comment to address")</f>
        <v/>
      </c>
      <c r="B410" s="8" t="inlineStr">
        <is>
          <t>Chasal Siddur Pesach</t>
        </is>
      </c>
      <c r="C410" s="8" t="inlineStr">
        <is>
          <t>source</t>
        </is>
      </c>
      <c r="D410" s="8" t="inlineStr">
        <is>
          <t>Requires Edition Specific Identification</t>
        </is>
      </c>
      <c r="E410" s="9" t="inlineStr">
        <is>
          <t>נִרְצָה
חֲסַל סִדּוּר פֶּסַח כְּהִלְכָתוֹ, כְּכָל מִשְׁפָּטוֹ וְחֻקָּתוֹ. כַּאֲשֶׁר זָכִינוּ לְסַדֵּר אוֹתוֹ כֵּן נִזְכֶּה לַעֲשׂוֹתוֹ. זָךְ שׁוֹכֵן מְעוֹנָה, קוֹמֵם קְהַל עֲדַת מִי מָנָה. בְּקָרוֹב נַהֵל נִטְעֵי כַנָּה פְּדוּיִם לְצִיּוֹן בְּרִנָּה.</t>
        </is>
      </c>
      <c r="F410" s="10" t="inlineStr"/>
      <c r="G410" s="11" t="inlineStr">
        <is>
          <t>Pesach Haggadah, Nirtzah, Chasal Siddur Pesach</t>
        </is>
      </c>
      <c r="H410" s="8" t="inlineStr">
        <is>
          <t>Pesach Haggadah — Public Domain</t>
        </is>
      </c>
      <c r="I410" s="8" t="inlineStr">
        <is>
          <t>sefaria-pesach-haggadah-nirtzah-chasal-siddur-pesach</t>
        </is>
      </c>
    </row>
    <row r="411" ht="40" customHeight="1">
      <c r="A411" s="7">
        <f>IF(LEN(TRIM(F411))=0,"Approved","Comment to address")</f>
        <v/>
      </c>
      <c r="B411" s="12" t="inlineStr">
        <is>
          <t>L'Shana HaBaa</t>
        </is>
      </c>
      <c r="C411" s="12" t="inlineStr">
        <is>
          <t>source</t>
        </is>
      </c>
      <c r="D411" s="12" t="inlineStr">
        <is>
          <t>Requires Edition Specific Identification</t>
        </is>
      </c>
      <c r="E411" s="13" t="inlineStr">
        <is>
          <t>לְשָׁנָה הַבָּאָה בִּירוּשָלַיִם הַבְּנוּיָה.</t>
        </is>
      </c>
      <c r="F411" s="10" t="inlineStr"/>
      <c r="G411" s="14" t="inlineStr">
        <is>
          <t>Pesach Haggadah, Nirtzah, L'Shana HaBaa</t>
        </is>
      </c>
      <c r="H411" s="12" t="inlineStr">
        <is>
          <t>Pesach Haggadah — Public Domain</t>
        </is>
      </c>
      <c r="I411" s="12" t="inlineStr">
        <is>
          <t>sefaria-pesach-haggadah-nirtzah-l-shana-habaa</t>
        </is>
      </c>
    </row>
    <row r="412" ht="409" customHeight="1">
      <c r="A412" s="7">
        <f>IF(LEN(TRIM(F412))=0,"Approved","Comment to address")</f>
        <v/>
      </c>
      <c r="B412" s="8" t="inlineStr">
        <is>
          <t>Ki Lo Na'e</t>
        </is>
      </c>
      <c r="C412" s="8" t="inlineStr">
        <is>
          <t>source</t>
        </is>
      </c>
      <c r="D412" s="8" t="inlineStr">
        <is>
          <t>Requires Edition Specific Identification</t>
        </is>
      </c>
      <c r="E412" s="9" t="inlineStr">
        <is>
          <t>כִּי לוֹ נָאֶה, כִּי לוֹ יָאֶה.
אַדִּיר בִּמְלוּכָה, בָּחוּר כַּהֲלָכָה, גְּדוּדָיו יֹאמְרוּ לוֹ: לְךָ וּלְךָ, לְךָ כִּי לְךָ, לְךָ אַף לְךָ, לְךָ יְיָ הַמַּמְלָכָה, כִּי לוֹ נָאֶה, כִּי לוֹ יָאֶה.
דָּגוּל בִּמְלוּכָה, הָדוּר כַּהֲלָכָה, וָתִיקָיו יֹאמְרוּ לוֹ: לְךָ וּלְךָ, לְךָ כִּי לְךָ, לְךָ אַף לְךָ, לְךָ יְיָ הַמַּמְלָכָה, כִּי לוֹ נָאֶה, כִּי לוֹ יָאֶה.
זַכַּאי בִּמְלוּכָה, חָסִין כַּהֲלָכָה טַפְסְרָיו יֹאמְרוּ לוֹ: לְךָ וּלְךָ, לְךָ כִּי לְךָ, לְךָ אַף לְךָ, לְךָ יְיָ הַמַּמְלָכָה, כִּי לוֹ נָאֶה, כִּי לוֹ יָאֶה.
יָחִיד בִּמְלוּכָה, כַּבִּיר כַּהֲלָכָה לִמּוּדָיו יֹאמְרוּ לוֹ: לְךָ וּלְךָ, לְךָ כִּי לְךָ, לְךָ אַף לְךָ, לְךָ יְיָ הַמַּמְלָכָה, כִּי לוֹ נָאֶה, כִּי לוֹ יָאֶה.
מוֹשֵׁל בִּמְלוּכָה, נוֹרָא כַּהֲלָכָה סְבִיבָיו יֹאמְרוּ לוֹ: לְךָ וּלְךָ, לְךָ כִּי לְךָ, לְךָ אַף לְךָ, לְךָ יְיָ הַמַּמְלָכָה, כִּי לוֹ נָאֶה, כִּי לוֹ יָאֶה.
עָנָיו בִּמְלוּכָה, פּוֹדֶה כַּהֲלָכָה, צַדִּיקָיו יֹאמְרוּ לוֹ: לְךָ וּלְךָ, לְךָ כִּי לְךָ, לְךָ אַף לְךָ, לְךָ יְיָ הַמַּמְלָכָה, כִּי לוֹ נָאֶה, כִּי לוֹ יָאֶה.
קָדּוֹשׁ בִּמְלוּכָה, רַחוּם כַּהֲלָכָה שִׁנְאַנָּיו יֹאמְרוּ לוֹ: לְךָ וּלְךָ, לְךָ כִּי לְךָ, לְךָ אַף לְךָ, לְךָ יְיָ הַמַּמְלָכָה, כִּי לוֹ נָאֶה, כִּי לוֹ יָאֶה.
תַּקִיף בִּמְלוּכָה, תּוֹמֵךְ כַּהֲלָכָה תְּמִימָיו יֹאמְרוּ לוֹ: לְךָ וּלְךָ, לְךָ כִּי לְךָ, לְךָ אַף לְךָ, לְךָ יְיָ הַמַּמְלָכָה, כִּי לוֹ נָאֶה, כִּי לוֹ יָאֶה.</t>
        </is>
      </c>
      <c r="F412" s="10" t="inlineStr"/>
      <c r="G412" s="11" t="inlineStr">
        <is>
          <t>Pesach Haggadah, Nirtzah, Ki Lo Na'e</t>
        </is>
      </c>
      <c r="H412" s="8" t="inlineStr">
        <is>
          <t>Pesach Haggadah — Public Domain</t>
        </is>
      </c>
      <c r="I412" s="8" t="inlineStr">
        <is>
          <t>sefaria-pesach-haggadah-nirtzah-ki-lo-na-e</t>
        </is>
      </c>
    </row>
    <row r="413" ht="335" customHeight="1">
      <c r="A413" s="7">
        <f>IF(LEN(TRIM(F413))=0,"Approved","Comment to address")</f>
        <v/>
      </c>
      <c r="B413" s="12" t="inlineStr">
        <is>
          <t>Adir Hu</t>
        </is>
      </c>
      <c r="C413" s="12" t="inlineStr">
        <is>
          <t>source</t>
        </is>
      </c>
      <c r="D413" s="12" t="inlineStr">
        <is>
          <t>Requires Edition Specific Identification</t>
        </is>
      </c>
      <c r="E413" s="13" t="inlineStr">
        <is>
          <t>אַדִּיר הוּא יִבְנֶה בֵיתוֹ בְּקָרוֹב. בִּמְהֵרָה, בִּמְהֵרָה, בְּיָמֵינוּ בְּקָרוֹב. אֵל בְּנֵה, אֵל בְּנֵה, בְּנֵה בֵיתְךָ בְּקָרוֹב.
בָּחוּר הוּא, גָּדוֹל הוּא, דָּגוּל הוּא יִבְנֶה בֵיתוֹ בְּקָרוֹב. בִּמְהֵרָה, בִּמְהֵרָה, בְּיָמֵינוּ בְּקָרוֹב. אֵל בְּנֵה, אֵל בְּנֵה, בְּנֵה בֵיתְךָ בְּקָרוֹב.
הָדוּר הוּא, וָתִיק הוּא, זַכַּאי הוּא יִבְנֶה בֵיתוֹ בְּקָרוֹב. בִּמְהֵרָה, בִּמְהֵרָה, בְּיָמֵינוּ בְּקָרוֹב. אֵל בְּנֵה, אֵל בְּנֵה, בְּנֵה בֵיתְךָ בְּקָרוֹב.
חָסִיד הוּא, טָהוֹר הוּא, יָחִיד הוּא יִבְנֶה בֵיתוֹ בְּקָרוֹב. בִּמְהֵרָה, בִּמְהֵרָה, בְּיָמֵינוּ בְּקָרוֹב. אֵל בְּנֵה, אֵל בְּנֵה, בְּנֵה בֵיתְךָ בְּקָרוֹב.
כַּבִּיר הוּא, לָמוּד הוּא, מֶלֶךְ הוּא יִבְנֶה בֵיתוֹ בְּקָרוֹב. בִּמְהֵרָה, בִּמְהֵרָה, בְּיָמֵינוּ בְּקָרוֹב. אֵל בְּנֵה, אֵל בְּנֵה, בְּנֵה בֵיתְךָ בְּקָרוֹב.
נוֹרָא הוּא, סַגִּיב הוּא, עִזּוּז הוּא יִבְנֶה בֵיתוֹ בְּקָרוֹב. בִּמְהֵרָה, בִּמְהֵרָה, בְּיָמֵינוּ בְּקָרוֹב. אֵל בְּנֵה, אֵל בְּנֵה, בְּנֵה בֵיתְךָ בְּקָרוֹב.
פּוֹדֶה הוּא, צַדִּיק הוּא, קָּדוֹשׁ הוּא יִבְנֶה בֵיתוֹ בְּקָרוֹב. בִּמְהֵרָה, בִּמְהֵרָה, בְּיָמֵינוּ בְּקָרוֹב. אֵל בְּנֵה, אֵל בְּנֵה, בְּנֵה בֵיתְךָ בְּקָרוֹב.
רַחוּם הוּא, שַׁדַּי הוּא, תַּקִּיף הוּא יִבְנֶה בֵיתוֹ בְּקָרוֹב. בִּמְהֵרָה, בִּמְהֵרָה, בְּיָמֵינוּ בְּקָרוֹב. אֵל בְּנֵה, אֵל בְּנֵה, בְּנֵה בֵיתְךָ בְּקָרוֹב.</t>
        </is>
      </c>
      <c r="F413" s="10" t="inlineStr"/>
      <c r="G413" s="14" t="inlineStr">
        <is>
          <t>Pesach Haggadah, Nirtzah, Adir Hu</t>
        </is>
      </c>
      <c r="H413" s="12" t="inlineStr">
        <is>
          <t>Pesach Haggadah — Public Domain</t>
        </is>
      </c>
      <c r="I413" s="12" t="inlineStr">
        <is>
          <t>sefaria-pesach-haggadah-nirtzah-adir-hu</t>
        </is>
      </c>
    </row>
    <row r="414" ht="63" customHeight="1">
      <c r="A414" s="7">
        <f>IF(LEN(TRIM(F414))=0,"Approved","Comment to address")</f>
        <v/>
      </c>
      <c r="B414" s="8" t="inlineStr">
        <is>
          <t>Sefirat HaOmer</t>
        </is>
      </c>
      <c r="C414" s="8" t="inlineStr">
        <is>
          <t>source</t>
        </is>
      </c>
      <c r="D414" s="8" t="inlineStr">
        <is>
          <t>Requires Edition Specific Identification</t>
        </is>
      </c>
      <c r="E414" s="9" t="inlineStr">
        <is>
          <t>ספירת העמר בחוץ לארץ, בליל שני של פסח:
בָּרוּךְ אַתָּה יְיָ, אֱלֹהֵינוּ מֶלֶךְ הָעוֹלָם, אֲשֶׁר קִדְּשָׁנוּ בְמִצְוֹתָיו וְצִוָּנוּ עַל סְפִירַת הָעֹמֶר. הַיּוֹם יוֹם אֶחָד בָּעֹמֶר.</t>
        </is>
      </c>
      <c r="F414" s="10" t="inlineStr"/>
      <c r="G414" s="11" t="inlineStr">
        <is>
          <t>Pesach Haggadah, Nirtzah, Sefirat HaOmer</t>
        </is>
      </c>
      <c r="H414" s="8" t="inlineStr">
        <is>
          <t>Pesach Haggadah — Public Domain</t>
        </is>
      </c>
      <c r="I414" s="8" t="inlineStr">
        <is>
          <t>sefaria-pesach-haggadah-nirtzah-sefirat-haomer</t>
        </is>
      </c>
    </row>
    <row r="415" ht="409" customHeight="1">
      <c r="A415" s="7">
        <f>IF(LEN(TRIM(F415))=0,"Approved","Comment to address")</f>
        <v/>
      </c>
      <c r="B415" s="12" t="inlineStr">
        <is>
          <t>Echad Mi Yodea</t>
        </is>
      </c>
      <c r="C415" s="12" t="inlineStr">
        <is>
          <t>source</t>
        </is>
      </c>
      <c r="D415" s="12" t="inlineStr">
        <is>
          <t>Requires Edition Specific Identification</t>
        </is>
      </c>
      <c r="E415" s="13" t="inlineStr">
        <is>
          <t>אֶחָד מִי יוֹדֵעַ? אֶחָד אֲנִי יוֹדֵעַ: אֶחָד אֱלֹהֵינוּ שֶׁבַּשָּׁמַיִם וּבָאָרֶץ. שְׁנַיִם מִי יוֹדֵעַ? שְׁנַיִם אֲנִי יוֹדֵעַ: שְׁנֵי לֻחוֹת הַבְּרִית. אֶחָד אֱלֹהֵינוּ שֶׁבַּשָּׁמַיִם וּבָאָרֶץ. שְׁלֹשָׁה מִי יוֹדֵעַ? שְׁלֹשָׁה אֲנִי יוֹדֵעַ: שְׁלֹשָׁה אָבוֹת, שְׁנֵי לֻחוֹת הַבְּרִית, אֶחָד אֱלֹהֵינוּ שֶׁבַּשָּׁמַיִם וּבָאָרֶץ. אַרְבַּע מִי יוֹדֵעַ? אַרְבַּע אֲנִי יוֹדֵעַ: אַרְבַּע אִמָּהוֹת, שְׁלשָׁה אָבוֹת, שְׁנֵי לֻחוֹת הַבְּרִית, אֶחָד אֱלֹהֵינוּ שֶׁבַּשָּׁמַיִם וּבָאָרֶץ. חֲמִשָּׁה מִי יוֹדֵעַ? חֲמִשָּׁה אֲנִי יוֹדֵעַ: חֲמִשָּׁה חוּמְשֵׁי תוֹרָה, אַרְבַּע אִמָּהוֹת, שְׁלשָׁה אָבוֹת, שְׁנֵי לֻחוֹת הַבְּרִית, אֶחָד אֱלֹהֵינוּ שֶׁבַּשָּׁמַיִם וּבָאָרֶץ. שִׁשָּׂה מִי יוֹדֵעַ? שִׁשָּׂה אֲנִי יוֹדֵעַ: שִׁשָּׁה סִדְרֵי מִשְׁנָה, חֲמִשָּׁה חוּמְשֵׁי תוֹרָה, אַרְבַּע אִמָּהוֹת, שְׁלֹשָׁה אָבוֹת, שְׁנֵי לֻחוֹת הַבְּרִית, אֶחָד אֱלֹהֵינוּ שֶׁבַּשָּׁמַיִם וּבָאָרֶץ. שִׁבְעָה מִי יוֹדֵעַ? שִׁבְעָה אֲנִי יוֹדֵעַ: שִׁבְעָה יְמֵי שַׁבָּתָא, שִׁשָּׁה סִדְרֵי מִשְׁנָה, חֲמִשָּׁה חוּמְשֵׁי תוֹרָה, אַרְבַּע אִמָּהוֹת, שְׁלשָׁה אָבוֹת, שְׁנֵי לֻחוֹת הַבְּרִית, אֶחָד אֱלֹהֵינוּ שֶׁבַּשָּׁמַיִם וּבָאָרֶץ. שְׁמוֹנָה מִי יוֹדֵעַ? שְׁמוֹנָה אֲנִי יוֹדֵעַ: שְׁמוֹנָה יְמֵי מִילָה, שִׁבְעָה יְמֵי שַׁבָּתָא, שִׁשָּׁה סִדְרֵי מִשְׁנָה, חֲמִשָּׁה חוּמְשֵׁי תוֹרָה, אַרְבַּע אִמָּהוֹת, שְׁלשָׁה אָבוֹת, שְׁנֵי לֻחוֹת הַבְּרִית, אֶחָד אֱלֹהֵינוּ שֶׁבַּשָּׁמַיִם וּבָאָרֶץ. תִּשְׁעָה מִי יוֹדֵעַ? תִּשְׁעָה אֲנִי יוֹדֵעַ: תִּשְׁעָה יַרְחֵי לֵדָה, שְׁמוֹנָה יְמֵי מִילָה, שִׁבְעָה יְמֵי שַׁבָּתָא, שִׁשָּׁה סִדְרֵי מִשְׁנָה, חֲמִשָּׁה חוּמְשֵׁי תוֹרָה, אַרְבַּע אִמָּהוֹת, שְׁלֹשָׁה אָבוֹת, שְׁנֵי לֻחוֹת הַבְּרִית, אֶחָד אֱלֹהֵינוּ שֶׁבַּשָּׁמַיִם וּבָאָרֶץ. עֲשָֹרָה מִי יוֹדֵעַ? עֲשָֹרָה אֲנִי יוֹדֵעַ: עֲשָׂרָה דִבְּרַיָא, תִּשְׁעָה יַרְחֵי לֵדָה, שְׁמוֹנָה יְמֵי מִילָה, שִׁבְעָה יְמֵי שַׁבָּתָא, שִׁשָּׁה סִדְרֵי מִשְׁנָה, חֲמִשָּׁה חוּמְשֵׁי תוֹרָה, אַרְבַּע אִמָּהוֹת, שְׁלשָׁה אָבוֹת, שְׁנֵי לֻחוֹת הַבְּרִית, אֶחָד אֱלֹהֵינוּ שֶׁבַּשָּׁמַיִם וּבָאָרֶץ. אַחַד עָשָׂר מִי יוֹדֵעַ? אַחַד עָשָׂר אֲנִי יוֹדֵעַ: אַחַד עָשָׂר כּוֹכְבַיָּא, עֲשָׂרָה דִבְּרַיָא, תִּשְׁעָה יַרְחֵי לֵדָה, שְׁמוֹנָה יְמֵי מִילָה, שִׁבְעָה יְמֵי שַׁבָּתָא, שִׁשָּׁה סִדְרֵי מִשְׁנָה, חֲמִשָּׁה חוּמְשֵׁי תוֹרָה, אַרְבַּע אִמָּהוֹת, שְׁלשָׁה אָבוֹת, שְׁנֵי לֻחוֹת הַבְּרִית, אֶחָד אֱלֹהֵינוּ שֶׁבַּשָּׁמַיִם וּבָאָרֶץ. שְׁנֵים עָשָׂר מִי יוֹדֵעַ? שְׁנֵים עָשָׂר אֲנִי יוֹדֵעַ: שְׁנֵים עָשָׂר שִׁבְטַיָּא, אַחַד עָשָׂר כּוֹכְבַיָּא, עֲשָׂרָה דִבְּרַיָא, תִּשְׁעָה יַרְחֵי לֵדָה, שְׁמוֹנָה יְמֵי מִילָה, שִׁבְעָה יְמֵי שַׁבָּתָא, שִׁשָּׁה סִדְרֵי מִשְׁנָה, חֲמִשָּׁה חוּמְשֵׁי תוֹרָה, אַרְבַּע אִמָּהוֹת, שְׁלשָׁה אָבוֹת, שְׁנֵי לֻחוֹת הַבְּרִית, אֶחָד אֱלֹהֵינוּ שֶׁבַּשָּׁמַיִם וּבָאָרֶץ. שְׁלשָׁה עָשָׂר מִי יוֹדֵעַ? שְׁלשָׁה עָשָׂר אֲנִי יוֹדֵעַ: שְׁלשָׁה עָשָׂר מִדַּיָּא. שְׁנֵים עָשָׂר שִׁבְטַיָּא, אַחַד עָשָׂר כּוֹכְבַיָּא, עֲשָׂרָה דִבְּרַיָא, תִּשְׁעָה יַרְחֵי לֵדָה, שְׁמוֹנָה יְמֵי מִילָה, שִׁבְעָה יְמֵי שַׁבָּתָא, שִׁשָּׁה סִדְרֵי מִשְׁנָה, חֲמִשָּׁה חוּמְשֵׁי תוֹרָה, אַרְבַּע אִמָּהוֹת, שְׁלשָׁה אָבוֹת, שְׁנֵי לֻחוֹת הַבְּרִית, אֶחָד אֱלֹהֵינוּ שֶׁבַּשָּׁמַיִם וּבָאָרֶץ.</t>
        </is>
      </c>
      <c r="F415" s="10" t="inlineStr"/>
      <c r="G415" s="14" t="inlineStr">
        <is>
          <t>Pesach Haggadah, Nirtzah, Echad Mi Yodea</t>
        </is>
      </c>
      <c r="H415" s="12" t="inlineStr">
        <is>
          <t>Pesach Haggadah — Public Domain</t>
        </is>
      </c>
      <c r="I415" s="12" t="inlineStr">
        <is>
          <t>sefaria-pesach-haggadah-nirtzah-echad-mi-yodea</t>
        </is>
      </c>
    </row>
    <row r="416" ht="409" customHeight="1">
      <c r="A416" s="7">
        <f>IF(LEN(TRIM(F416))=0,"Approved","Comment to address")</f>
        <v/>
      </c>
      <c r="B416" s="8" t="inlineStr">
        <is>
          <t>Chad Gadya</t>
        </is>
      </c>
      <c r="C416" s="8" t="inlineStr">
        <is>
          <t>source</t>
        </is>
      </c>
      <c r="D416" s="8" t="inlineStr">
        <is>
          <t>Requires Edition Specific Identification</t>
        </is>
      </c>
      <c r="E416" s="9" t="inlineStr">
        <is>
          <t>חַד גַּדְיָא, חַד גַּדְיָא דְּזַבִּין אַבָּא בִּתְרֵי זוּזֵי, חַד גַּדְיָא, חַד גַּדְיָא.
וְאָתָא שׁוּנְרָא וְאַָכְלָה לְגַדְיָא, דְּזַבִּין אַבָּא בִּתְרֵי זוּזֵי. חַד גַּדְיָא, חַד גַּדְיָא.
וְאָתָא כַלְבָּא וְנָשַׁךְ לְשׁוּנְרָא, דְּאַָכְלָה לְגַדְיָא, דְּזַבִּין אַבָּא בִּתְרֵי זוּזֵי. חַד גַּדְיָא, חַד גַּדְיָא.
וְאָתָא חוּטְרָא והִכָּה לְכַלְבָּא, דְּנָשַׁךְ לְשׁוּנְרָא, דְּאַָכְלָה לְגַדְיָא, דְּזַבִּין אַבָּא בִּתְרֵי זוּזֵי. חַד גַּדְיָא, חַד גַּדְיָא.
וְאָתָא נוּרָא וְשָׂרַף לְחוּטְרָא, דְּהִכָּה לְכַלְבָּא, דְּנָשַׁךְ לְשׁוּנְרָא, דְּאַָכְלָה לְגַדְיָא, דְּזַבִּין אַבָּא בִּתְרֵי זוּזֵי. חַד גַּדְיָא, חַד גַּדְיָא.
וְאָתָא מַיָא וְכָבָה לְנוּרָא, דְּשָׂרַף לְחוּטְרָא, דְּהִכָּה לְכַלְבָּא, דְּנָשַׁךְ לְשׁוּנְרָא, דְּאַָכְלָה לְגַדְיָא, דְּזַבִּין אַבָּא בִּתְרֵי זוּזֵי. חַד גַּדְיָא, חַד גַּדְיָא.
וְאָתָא תוֹרָא וְשָׁתָה לְמַיָא, דְּכָבָה לְנוּרָא, דְּשָׂרַף לְחוּטְרָא, דְּהִכָּה לְכַלְבָּא, דְּנָשַׁךְ לְשׁוּנְרָא, דְּאַָכְלָה לְגַדְיָא, דְּזַבִּין אַבָּא בִּתְרֵי זוּזֵי. חַד גַּדְיָא, חַד גַּדְיָא.
וְאָתָא הַשׁוֹחֵט וְשָׁחַט לְתוֹרָא, דְּשָׁתָה לְמַיָא, דְּכָבָה לְנוּרָא, דְּשָׂרַף לְחוּטְרָא, דְּהִכָּה לְכַלְבָּא, דְּנָשַׁךְ לְשׁוּנְרָא, דְּאַָכְלָה לְגַדְיָא, דְּזַבִּין אַבָּא בִּתְרֵי זוּזֵי. חַד גַּדְיָא, חַד גַּדְיָא.
וְאָתָא מַלְאָךְ הַמָּוֶת וְשָׁחַט לְשׁוֹחֵט, דְּשָׁחַט לְתוֹרָא, דְּשָׁתָה לְמַיָא, דְּכָבָה לְנוּרָא, דְּשָׂרַף לְחוּטְרָא, דְּהִכָּה לְכַלְבָּא, דְּנָשַׁךְ לְשׁוּנְרָא, דְּאַָכְלָה לְגַדְיָא, דְּזַבִּין אַבָּא בִּתְרֵי זוּזֵי. חַד גַּדְיָא, חַד גַּדְיָא.
וְאָתָא הַקָּדושׁ בָּרוּךְ הוּא וְשָׁחַט לְמַלְאַךְ הַמָּוֶת, דְּשָׁחַט לְשׁוֹחֵט, דְּשָׁחַט לְתוֹרָא, דְּשָׁתָה לְמַיָא, דְּכָבָה לְנוּרָא, דְּשָׂרַף לְחוּטְרָא, דְּהִכָּה לְכַלְבָּא, דְּנָשַׁךְ לְשׁוּנְרָא, דְּאַָכְלָה לְגַדְיָא, דְּזַבִּין אַבָּא בִּתְרֵי זוּזֵי. חַד גַּדְיָא, חַד גַּדְיָא.</t>
        </is>
      </c>
      <c r="F416" s="10" t="inlineStr"/>
      <c r="G416" s="11" t="inlineStr">
        <is>
          <t>Pesach Haggadah, Nirtzah, Chad Gadya</t>
        </is>
      </c>
      <c r="H416" s="8" t="inlineStr">
        <is>
          <t>Pesach Haggadah — Public Domain</t>
        </is>
      </c>
      <c r="I416" s="8" t="inlineStr">
        <is>
          <t>sefaria-pesach-haggadah-nirtzah-chad-gadya</t>
        </is>
      </c>
    </row>
    <row r="417" ht="165" customHeight="1">
      <c r="A417" s="7">
        <f>IF(LEN(TRIM(F417))=0,"Approved","Comment to address")</f>
        <v/>
      </c>
      <c r="B417" s="12" t="inlineStr">
        <is>
          <t>Mourner's Kaddish</t>
        </is>
      </c>
      <c r="C417" s="12" t="inlineStr">
        <is>
          <t>daily</t>
        </is>
      </c>
      <c r="D417" s="12" t="inlineStr">
        <is>
          <t>Ashkenaz</t>
        </is>
      </c>
      <c r="E417"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 כָּל בִּרְכָתָא וְשִׁירָתָא, תֻּשְׁבְּחָתָא וְנֶחֱמָתָא, דַּאֲמִירָן בְּעָלְמָא, וְאִמְרוּ אָמֵן: יְהֵא שְׁלָמָא רַבָּא מִן שְׁמַיָּא וְחַיִּים עָלֵֽינוּ וְעַל כָּל יִשְׂרָאֵל וְאִמְרוּ אָמֵן: עוֹשֶׂה שָׁלוֹם בִּמְרוֹמָיו הוּא יַעֲשֶׂה שָׁלוֹם עָלֵינוּ וְעַל כָּל יִשְׂרָאֵל וְאִמְרוּ אָמֵן</t>
        </is>
      </c>
      <c r="F417" s="10" t="inlineStr"/>
      <c r="G417" s="14" t="inlineStr">
        <is>
          <t>Machzor Rosh Hashanah Ashkenaz, Mincha for Erev Rosh Hashana, Mourner's Kaddish</t>
        </is>
      </c>
      <c r="H417" s="12" t="inlineStr">
        <is>
          <t>The Metsudah Machzor. Metsudah Publications, New York -- he (paragraph ed.) — CC-BY</t>
        </is>
      </c>
      <c r="I417" s="12" t="inlineStr">
        <is>
          <t>sefaria-machzor-rosh-hashanah-ashkenaz-mincha-for-erev-rosh-hashana-mourner-s-kaddish</t>
        </is>
      </c>
    </row>
    <row r="418" ht="165" customHeight="1">
      <c r="A418" s="7">
        <f>IF(LEN(TRIM(F418))=0,"Approved","Comment to address")</f>
        <v/>
      </c>
      <c r="B418" s="8" t="inlineStr">
        <is>
          <t>Mourner's Kaddish</t>
        </is>
      </c>
      <c r="C418" s="8" t="inlineStr">
        <is>
          <t>daily</t>
        </is>
      </c>
      <c r="D418" s="8" t="inlineStr">
        <is>
          <t>Ashkenaz</t>
        </is>
      </c>
      <c r="E418" s="9"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18" s="10" t="inlineStr"/>
      <c r="G418" s="11" t="inlineStr">
        <is>
          <t>Machzor Rosh Hashanah Ashkenaz, Maariv, Mourner's Kaddish</t>
        </is>
      </c>
      <c r="H418" s="8" t="inlineStr">
        <is>
          <t>The Metsudah Machzor. Metsudah Publications, New York -- he (paragraph ed.) — CC-BY</t>
        </is>
      </c>
      <c r="I418" s="8" t="inlineStr">
        <is>
          <t>sefaria-machzor-rosh-hashanah-ashkenaz-maariv-mourner-s-kaddish</t>
        </is>
      </c>
    </row>
    <row r="419" ht="233" customHeight="1">
      <c r="A419" s="7">
        <f>IF(LEN(TRIM(F419))=0,"Approved","Comment to address")</f>
        <v/>
      </c>
      <c r="B419" s="12" t="inlineStr">
        <is>
          <t>Blessings Upon Arising</t>
        </is>
      </c>
      <c r="C419" s="12" t="inlineStr">
        <is>
          <t>daily</t>
        </is>
      </c>
      <c r="D419" s="12" t="inlineStr">
        <is>
          <t>Ashkenaz</t>
        </is>
      </c>
      <c r="E419" s="13" t="inlineStr">
        <is>
          <t>בָּרוּךְ אַתָּה יְהֹוָה אֱלֹהֵֽינוּ מֶֽלֶךְ הָעוֹלָם אֲשֶׁר קִדְּשָֽׁנוּ בְּמִצְוֹתָיו וְצִוָּֽנוּ עַל נְטִילַת יָדָֽיִם:
בָּרוּךְ אַתָּה יְהֹוָה אֱלֹהֵֽינוּ מֶֽלֶךְ הָעוֹלָם אֲשֶׁר יָצַר אֶת 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 בָּשָׂר וּמַפְלִיא לַעֲשׂוֹת:
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419" s="10" t="inlineStr"/>
      <c r="G419" s="14" t="inlineStr">
        <is>
          <t>Machzor Rosh Hashanah Ashkenaz, The Morning Prayers, Blessings Upon Arising</t>
        </is>
      </c>
      <c r="H419" s="12" t="inlineStr">
        <is>
          <t>The Metsudah Machzor. Metsudah Publications, New York -- he (paragraph ed.) — CC-BY</t>
        </is>
      </c>
      <c r="I419" s="12" t="inlineStr">
        <is>
          <t>sefaria-machzor-rosh-hashanah-ashkenaz-the-morning-prayers-blessings-upon-arising</t>
        </is>
      </c>
    </row>
    <row r="420" ht="318" customHeight="1">
      <c r="A420" s="7">
        <f>IF(LEN(TRIM(F420))=0,"Approved","Comment to address")</f>
        <v/>
      </c>
      <c r="B420" s="8" t="inlineStr">
        <is>
          <t>Blessings of the Torah</t>
        </is>
      </c>
      <c r="C420" s="8" t="inlineStr">
        <is>
          <t>daily</t>
        </is>
      </c>
      <c r="D420" s="8" t="inlineStr">
        <is>
          <t>Ashkenaz</t>
        </is>
      </c>
      <c r="E420" s="9" t="inlineStr">
        <is>
          <t>בָּרוּךְ אַתָּה יְהֹוָה אֱלֹהֵֽינוּ מֶֽלֶךְ הָעוֹלָם אֲשֶׁר קִדְּשָֽׁנוּ בְּמִצְוֹתָיו וְצִוָּֽנוּ לַעֲסֹק בְּדִבְרֵי תוֹרָה:
וְהַעֲרֶב נָא יְהֹוָה אֱלֹהֵֽינוּ אֶת דִּבְרֵי תוֹרָתְךָ בְּפִֽינוּ וּבְפִי עַמְּךָ בֵּית יִשְׂרָאֵל וְנִהְיֶה אֲנַֽחְנוּ וְצֶאֱצָאֵֽינוּ וְצֶאֱצָאֵי עַמְּךָ בֵּית יִשְׂרָאֵל כֻּלָּֽנוּ יוֹדְעֵי שְׁמֶֽךָ וְלוֹמְדֵי תוֹרָתֶֽךָ לִשְׁמָהּ: בָּרוּךְ אַתָּה יְהֹוָה הַמְלַמֵּד תּוֹרָה לְעַמּוֹ יִשְׂרָאֵל:
בָּרוּךְ אַתָּה יְהֹוָה אֱלֹהֵֽינוּ מֶֽלֶךְ הָעוֹלָם אֲשֶׁר בָּֽחַר בָּֽנוּ מִכָּל הָעַמִּים וְנָֽתַן לָֽנוּ אֶת תּוֹרָתוֹ: בָּרוּךְ אַתָּה יְהֹוָה נוֹתֵן הַתּוֹרָה:
יְבָרֶכְךָ יְהֹוָה וְיִשְׁמְרֶֽךָ: יָאֵר יְהֹוָה פָּנָיו אֵלֶֽיךָ וִיחֻנֶּֽךָּ: יִשָּׂא יְהֹוָה פָּנָיו אֵלֶֽיךָ וְיָשֵׂם לְךָ שָׁלוֹם:
אֵֽלּוּ דְבָרִים שֶׁאֵין לָהֶם שִׁעוּר הַפֵּאָה וְהַבִּכּוּרִים וְהָרְאָיוֹן וּגְמִילוּת חֲסָדִים וְתַלְמוּד תּוֹרָה:
אֵֽלּוּ דְבָרִים שֶׁאָדָם אוֹכֵל פֵּרוֹתֵיהֶם בָּעוֹלָם הַזֶּה וְהַקֶּֽרֶן קַיֶּֽמֶת לוֹ לָעוֹלָם הַבָּא, וְאֵֽלּוּ הֵן כִּבּוּד אָב וָאֵם וּגְמִילוּת חֲסָדִים וְהַשְׁכָּמַת בֵּית הַמִּדְרָשׁ שַׁחֲרִית וְעַרְבִית וְהַכְנָסַת אוֹרְחִים וּבִקּוּר חוֹלִים וְהַכְנָסַת כַּלָּה וּלְוָיַת הַמֵּת וְעִיּוּן תְּפִלָּה וַהֲבָאַת שָׁלוֹם בֵּין אָדָם לַחֲבֵרוֹ וְתַלְמוּד תּוֹרָה כְּנֶֽגֶד כֻּלָּם:</t>
        </is>
      </c>
      <c r="F420" s="10" t="inlineStr"/>
      <c r="G420" s="11" t="inlineStr">
        <is>
          <t>Machzor Rosh Hashanah Ashkenaz, The Morning Prayers, Blessings of the Torah</t>
        </is>
      </c>
      <c r="H420" s="8" t="inlineStr">
        <is>
          <t>The Metsudah Machzor. Metsudah Publications, New York -- he (paragraph ed.) — CC-BY</t>
        </is>
      </c>
      <c r="I420" s="8" t="inlineStr">
        <is>
          <t>sefaria-machzor-rosh-hashanah-ashkenaz-the-morning-prayers-blessings-of-the-torah</t>
        </is>
      </c>
    </row>
    <row r="421" ht="165" customHeight="1">
      <c r="A421" s="7">
        <f>IF(LEN(TRIM(F421))=0,"Approved","Comment to address")</f>
        <v/>
      </c>
      <c r="B421" s="12" t="inlineStr">
        <is>
          <t>Mourner's Kaddish</t>
        </is>
      </c>
      <c r="C421" s="12" t="inlineStr">
        <is>
          <t>daily</t>
        </is>
      </c>
      <c r="D421" s="12" t="inlineStr">
        <is>
          <t>Ashkenaz</t>
        </is>
      </c>
      <c r="E421"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21" s="10" t="inlineStr"/>
      <c r="G421" s="14" t="inlineStr">
        <is>
          <t>Machzor Rosh Hashanah Ashkenaz, The Morning Prayers, Mourner's Kaddish</t>
        </is>
      </c>
      <c r="H421" s="12" t="inlineStr">
        <is>
          <t>The Metsudah Machzor. Metsudah Publications, New York -- he (paragraph ed.) — CC-BY</t>
        </is>
      </c>
      <c r="I421" s="12" t="inlineStr">
        <is>
          <t>sefaria-machzor-rosh-hashanah-ashkenaz-the-morning-prayers-mourner-s-kaddish</t>
        </is>
      </c>
    </row>
    <row r="422" ht="165" customHeight="1">
      <c r="A422" s="7">
        <f>IF(LEN(TRIM(F422))=0,"Approved","Comment to address")</f>
        <v/>
      </c>
      <c r="B422" s="8" t="inlineStr">
        <is>
          <t>The King</t>
        </is>
      </c>
      <c r="C422" s="8" t="inlineStr">
        <is>
          <t>daily</t>
        </is>
      </c>
      <c r="D422" s="8" t="inlineStr">
        <is>
          <t>Ashkenaz</t>
        </is>
      </c>
      <c r="E422" s="9" t="inlineStr">
        <is>
          <t>הַמֶּֽלֶךְ יּוֹשֵׁב עַל כִּסֵּא רָם וְנִשָּׂא:
שׁוֹכֵן עַד מָרוֹם וְקָדוֹשׁ שְׁמוֹ. וְכָתוּב רַנְּנוּ צַדִּיקִים בַּיהוָֹה. לַיְשָׁרִים נָאוָה תְהִלָּה: בְּפִי יְשָׁרִים תִּתְרוֹמָם. וּבְדִבְרֵי צַדִּיקִים תִּתְבָּרַךְ. וּבִלְשׁוֹן חֲסִידִים תִּתְקַדָּשׁ. וּבְקֶֽרֶב קְדוֹשִׁים תִּתְהַלָּל:
וּבְמַקְהֲלוֹת רִבְבוֹת עַמְּךָ בֵּית יִשְׂרָאֵל. בְּרִנָּה יִתְפָּאַר שִׁמְךָ מַלְכֵּֽנוּ בְּכָל דּוֹר וָדוֹר. שֶׁכֵּן חוֹבַת כָּל הַיְצוּרִים לְפָנֶֽיךָ. יְהֹוָה אֱלֹהֵֽינוּ. וֵאלֹהֵי אֲבוֹתֵֽינוּ חזן: לְהוֹדוֹת לְהַלֵּל לְשַׁבֵּחַ. לְפָאֵר לְרוֹמֵם לְהַדֵּר לְבָרֵךְ לְעַלֵּה וּלְקַלֵּס עַל כָּל דִּבְרֵי שִׁירוֹת וְתִשְׁבְּחוֹת דָּוִד בֶּן יִשַׁי. עַבְדְּךָ מְשִׁיחֶֽךָ:</t>
        </is>
      </c>
      <c r="F422" s="10" t="inlineStr"/>
      <c r="G422" s="11" t="inlineStr">
        <is>
          <t>Machzor Rosh Hashanah Ashkenaz, The Morning Prayers, First Day of Rosh Hashana, The King</t>
        </is>
      </c>
      <c r="H422" s="8" t="inlineStr">
        <is>
          <t>The Metsudah Machzor. Metsudah Publications, New York -- he (paragraph ed.) — CC-BY</t>
        </is>
      </c>
      <c r="I422" s="8" t="inlineStr">
        <is>
          <t>sefaria-machzor-rosh-hashanah-ashkenaz-the-morning-prayers-first-day-of-rosh-hashana-the-king</t>
        </is>
      </c>
    </row>
    <row r="423" ht="409" customHeight="1">
      <c r="A423" s="7">
        <f>IF(LEN(TRIM(F423))=0,"Approved","Comment to address")</f>
        <v/>
      </c>
      <c r="B423" s="12" t="inlineStr">
        <is>
          <t>Sancification of the Day</t>
        </is>
      </c>
      <c r="C423" s="12" t="inlineStr">
        <is>
          <t>daily</t>
        </is>
      </c>
      <c r="D423" s="12" t="inlineStr">
        <is>
          <t>Ashkenaz</t>
        </is>
      </c>
      <c r="E423" s="13" t="inlineStr">
        <is>
          <t>אַתָּה בְחַרְתָּֽנוּ מִכָּל הָעַמִּים. אָהַֽבְתָּ אוֹתָֽנוּ וְרָצִֽיתָ בָּֽנוּ. וְרוֹמַמְתָּֽנוּ מִכָּל הַלְּשׁוֹנוֹת. וְקִדַּשְׁתָּֽנוּ בְּמִצְוֹתֶֽיךָ. וְקֵרַבְתָּֽנוּ מַלְכֵּֽנוּ לַעֲבוֹדָתֶֽךָ. וְשִׁמְךָ הַגָּדוֹל וְהַקָּדוֹשׁ עָלֵֽינוּ קָרָֽאתָ:
וַתִּתֶּן לָֽנוּ יְהֹוָה אֱלֹהֵֽינוּ בְּאַהֲבָה (אֶת־יוֹם הַשַּׁבָּת הַזֶּה וְ) אֶת־יוֹם הַזִּכָּרוֹן הַזֶּה. יוֹם (זִכְרוֹן) תְּרוּעָה (בְּאַהֲבָה) מִקְרָא קֹֽדֶשׁ זֵֽכֶר לִיצִיאַת מִצְרָֽיִם: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הַזִּכָּרוֹן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אֱלֹהֵֽינוּ וֵאלֹהֵי אֲבוֹתֵֽינוּ. מְלוֹךְ עַל כָּל הָעוֹלָם כֻּלּוֹ בִּכְבוֹדֶֽךָ וְהִנָּשֵׂא עַל כָּל הָאָֽרֶץ בִּיקָרֶֽךָ וְהוֹפַע בַּהֲדַר גְּאוֹן עֻזֶּֽךָ עַל כָּל יוֹשְׁבֵי תֵבֵל אַרְצֶֽךָ. וְיֵדַע כָּל פָּעוּל כִּי אַתָּה פְעַלְתּוֹ וְיָבִין כָּל יְצוּר כִּי אַתָּה יְצַרְתּוֹ וְיֹאמַר כֹּל אֲשֶׁר נְשָׁמָה בְאַפּוֹ יְהֹוָה אֱלֹהֵי יִשְׂרָאֵל מֶֽלֶךְ וּמַלְכוּתוֹ בַּכֹּל מָשָֽׁלָה:
(אֱלֹהֵֽינוּ וֵאלֹהֵי אֲבוֹתֵֽינוּ רְצֵה בִמְנוּחָתֵֽנוּ) קַדְּשֵֽׁנוּ בְּמִצְוֹתֶֽיךָ וְתֵן חֶלְקֵֽנוּ בְּתוֹרָתֶֽךָ שַׂבְּעֵֽנוּ מִטּוּבֶֽךָ וְשַׂמְּחֵֽנוּ בִּישׁוּעָתֶֽךָ: (וְהַנְחִילֵֽנוּ יְהֹוָה אֱלֹהֵֽינוּ בְּאַהֲבָה וּבְרָצוֹן שַׁבַּת קָדְשֶֽׁךָ וְיָנֽוּחוּ בוֹ יִשְׂרָאֵל מְקַדְּשֵׁי שְׁמֶֽךָ) וְטַהֵר לִבֵּֽנוּ לְעָבְדְּךָ בֶּאֱמֶת כִּי אַתָּה אֱלֹהִים אֱמֶת וּדְבָרְךָ אֱמֶת וְקַיָּם לָעַד. בָּרוּךְ אַתָּה יְהֹוָה מֶֽלֶךְ עַל כָּל הָאָֽרֶץ מְקַדֵּשׁ (הַשַּׁבָּת וְ) יִשְׂרָאֵל וְיוֹם הַזִּכָּרוֹן:</t>
        </is>
      </c>
      <c r="F423" s="10" t="inlineStr"/>
      <c r="G423" s="14" t="inlineStr">
        <is>
          <t>Machzor Rosh Hashanah Ashkenaz, The Morning Prayers, First Day of Rosh Hashana, Sancification of the Day</t>
        </is>
      </c>
      <c r="H423" s="12" t="inlineStr">
        <is>
          <t>The Metsudah Machzor. Metsudah Publications, New York -- he (paragraph ed.) — CC-BY</t>
        </is>
      </c>
      <c r="I423" s="12" t="inlineStr">
        <is>
          <t>sefaria-machzor-rosh-hashanah-ashkenaz-the-morning-prayers-first-day-of-rosh-hashana-sancification-of-the-day</t>
        </is>
      </c>
    </row>
    <row r="424" ht="409" customHeight="1">
      <c r="A424" s="7">
        <f>IF(LEN(TRIM(F424))=0,"Approved","Comment to address")</f>
        <v/>
      </c>
      <c r="B424" s="8" t="inlineStr">
        <is>
          <t>Sancification of the Day</t>
        </is>
      </c>
      <c r="C424" s="8" t="inlineStr">
        <is>
          <t>daily</t>
        </is>
      </c>
      <c r="D424" s="8" t="inlineStr">
        <is>
          <t>Ashkenaz</t>
        </is>
      </c>
      <c r="E424" s="9" t="inlineStr">
        <is>
          <t>אַתָּה בְחַרְתָּֽנוּ מִכָּל הָעַמִּים. אָהַֽבְתָּ אוֹתָֽנוּ וְרָצִֽיתָ בָּֽנוּ. וְרוֹמַמְתָּֽנוּ מִכָּל הַלְּשׁוֹנוֹת. וְקִדַּשְׁתָּֽנוּ בְּמִצְוֹתֶֽיךָ. וְקֵרַבְתָּֽנוּ מַלְכֵּֽנוּ לַעֲבוֹדָתֶֽךָ. וְשִׁמְךָ הַגָּדוֹל וְהַקָּדוֹשׁ עָלֵֽינוּ קָרָֽאתָ:
וַתִּתֶּן לָֽנוּ יְהֹוָה אֱלֹהֵֽינוּ בְּאַהֲבָה אֶת־יוֹם הַזִּכָּרוֹן הַזֶּה. יוֹם תְּרוּעָה מִקְרָא קֹֽדֶשׁ זֵֽכֶר לִיצִיאַת מִצְרָֽיִם: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הַזִּכָּרוֹן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אֱלֹהֵֽינוּ וֵאלֹהֵי אֲבוֹתֵֽינוּ. מְלוֹךְ עַל כָּל הָעוֹלָם כֻּלּוֹ בִּכְבוֹדֶֽךָ וְהִנָּשֵׂא עַל כָּל הָאָֽרֶץ בִּיקָרֶֽךָ וְהוֹפַע בַּהֲדַר גְּאוֹן עֻזֶּֽךָ עַל כָּל יוֹשְׁבֵי תֵבֵל אַרְצֶֽךָ. וְיֵדַע כָּל פָּעוּל כִּי אַתָּה פְעַלְתּוֹ וְיָבִין כָּל יְצוּר כִּי אַתָּה יְצַרְתּוֹ וְיֹאמַר כֹּל אֲשֶׁר נְשָׁמָה בְאַפּוֹ יְהֹוָה אֱלֹהֵי יִשְׂרָאֵל מֶֽלֶךְ וּמַלְכוּתוֹ בַּכֹּל מָשָֽׁלָה: קַדְּשֵֽׁנוּ בְּמִצְוֹתֶֽיךָ וְתֵן חֶלְקֵֽנוּ בְּתוֹרָתֶֽךָ שַׂבְּעֵֽנוּ מִטּוּבֶֽךָ וְשַׂמְּחֵֽנוּ בִּישׁוּעָתֶֽךָ: וְטַהֵר לִבֵּֽנוּ לְעָבְדְּךָ בֶּאֱמֶת כִּי אַתָּה אֱלֹהִים אֱמֶת וּדְבָרְךָ אֱמֶת וְקַיָּם לָעַד. בָּרוּךְ אַתָּה יְהֹוָה מֶֽלֶךְ עַל כָּל הָאָֽרֶץ מְקַדֵּשׁ יִשְׂרָאֵל וְיוֹם הַזִּכָּרוֹן:</t>
        </is>
      </c>
      <c r="F424" s="10" t="inlineStr"/>
      <c r="G424" s="11" t="inlineStr">
        <is>
          <t>Machzor Rosh Hashanah Ashkenaz, The Morning Prayers, Second Day of Rosh Hashana, Sancification of the Day</t>
        </is>
      </c>
      <c r="H424" s="8" t="inlineStr">
        <is>
          <t>The Metsudah Machzor. Metsudah Publications, New York -- he (paragraph ed.) — CC-BY</t>
        </is>
      </c>
      <c r="I424" s="8" t="inlineStr">
        <is>
          <t>sefaria-machzor-rosh-hashanah-ashkenaz-the-morning-prayers-second-day-of-rosh-hashana-sancification-of-the-day</t>
        </is>
      </c>
    </row>
    <row r="425" ht="409" customHeight="1">
      <c r="A425" s="7">
        <f>IF(LEN(TRIM(F425))=0,"Approved","Comment to address")</f>
        <v/>
      </c>
      <c r="B425" s="12" t="inlineStr">
        <is>
          <t>Yekum Purkon</t>
        </is>
      </c>
      <c r="C425" s="12" t="inlineStr">
        <is>
          <t>study</t>
        </is>
      </c>
      <c r="D425" s="12" t="inlineStr">
        <is>
          <t>Ashkenaz</t>
        </is>
      </c>
      <c r="E425" s="13" t="inlineStr">
        <is>
          <t>יְקוּם פֻּרְקָן מִן שְׁמַיָּא חִנָּא וְחִסְדָּא וְרַחֲמֵי וְחַיֵּי אֲרִיכֵי וּמְזוֹנֵי רְוִיחֵי וְסִיַּעְתָּא דִשְׁמַיָּא וּבַרְיוּת גּוּפָא וּנְהוֹרָא מַעַלְיָא. זַרְעָא חַיָּא וְקַיָּמָא. זַרְעָא דִּי לָא יִפְסוֹק וְדִי לָא יִבְטוֹל מִפִּתְגָּמֵי אוֹרַיְתָא: לְמָרָנָן וְרַבָּנָן חֲבוּרָתָא קַדִּישָׁתָא. דִּי בְאַרְעָא דְיִשְׂרָאֵל וְדִי בְּבָבֶל. לְרֵישֵׁי כַלֵּי וּלְרֵישֵׁי גַלְוָתָא וּלְרֵישֵׁי מְתִיבָתָא וּלְדַיָּנֵי דִי בָבָא: לְכָל תַּלְמִידֵיהוֹן וּלְכָל תַּלְמִידֵי תַלְמִידֵיהוֹן וּלְכָל מָאן דְּעָסְקִין בְּאוֹרַיְתָא. מַלְכָּא דְעָלְמָא יְבָרֵךְ יַתְהוֹן יַפִּישׁ חַיֵּיהוֹן וְיַסְגֵּא יוֹמֵיהוֹן וְיִתֵּן אַרְכָּא לִשְׁנֵיהוֹן וְיִתְפָּרְקוּן וְיִשְׁתֵּזְבוּן מִן כָּל עָקָא וּמִן כָּל מַרְעִין בִּישִׁין. מָרָן דִּי בִשְׁמַיָּא יְהֵא בְסַעְדְּהוֹן כָּל זְמַן וְעִדָּן. וְנֹאמַר אָמֵן:
יְקוּם פֻּרְקָן מִן שְׁמַיָּא חִנָּא וְחִסְדָּא וְרַחֲמֵי וְחַיֵּי אֲרִיכֵי וּמְזוֹנֵי רְוִיחֵי וְסִיַּעְתָּא דִשְׁמַיָּא וּבַרְיוּת גּוּפָא וּנְהוֹרָא מַעַלְיָא. זַרְעָא חַיָּא וְקַיָּמָא זַרְעָא דִּי לָא יִפְסוֹק וְדִי לָא יִבְטוֹל מִפִּתְגָּמֵי אוֹרַיְתָא: לְכָל קְהָלָא קַדִּישָׁא הָדֵין רַבְרְבַיָּא עִם זְעֵרַיָּא טַפְלָא וּנְשַׁיָּא. מַלְכָּא דְעָלְמָא יְבָרֵךְ יַתְכוֹן יַפִּישׁ חַיֵּיכוֹן וְיַסְגֵּא יוֹמֵיכוֹן וְיִתֵּן אַרְכָּא לִשְׁנֵיכוֹן וְתִתְפָּרְקוּן וְתִשְׁתֵּזְבוּן מִן כָּל עָקָא וּמִן כָּל מַרְעִין בִּישִׁין. מָרָן דִּי בִשְׁמַיָא יְהֵא בְסַעְדְּכוֹן כָּל זְמַן וְעִדָּן. וְנֹאמַר אָמֵן:
מִי שֶׁבֵּרַךְ אֲבוֹתֵֽינוּ אַבְרָהָם יִצְחָק וְיַעֲקֹב. הוּא יְבָרֵךְ אֶת כָּל הַקָּהָל הַקָּדוֹשׁ הַזֶּה עִם כָּל קְהִלּוֹת הַקֹּֽדֶשׁ. הֵם וּנְשֵׁיהֶם וּבְנֵיהֶם וּבְנוֹתֵיהֶם וְכָל אֲשֶׁר לָהֶם וּמִי שֶׁמְּיַחֲדִים בָּתֵּי כְנֵסִיּוֹת לִתְפִלָּה. וּמִי שֶׁבָּאִים בְּתוֹכָם לְהִתְפַּלֵּל. וּמִי שֶׁנּוֹתְנִים נֵר לַמָּאוֹר וְיַֽיִן לְקִדּוּשׁ וּלְהַבְדָּלָה וּפַת לָאוֹרְחִים וּצְדָקָה לָעֲנִיִּים. חזן: וְכָל מִי שֶׁעוֹסְקִים בְּצָרְכֵי צִבּוּר בֶּאֱמוּנָה. הַקָּדוֹשׁ בָּרוּךְ הוּא יְשַׁלֵּם שְׂכָרָם וְיָסִיר מֵהֶם כָּל מַחֲלָה וְיִרְפָּא לְכָל גּוּפָם וְיִסְלַח לְכָל עֲו‍ֹנָם. וְיִשְׁלַח בְּרָכָה וְהַצְלָחָה בְּכָל מַעֲשֵׂה יְדֵיהֶם עִם כָּל יִשְׂרָאֵל אֲחֵיהֶם. וְנֹאמַר אָמֵן:</t>
        </is>
      </c>
      <c r="F425" s="10" t="inlineStr"/>
      <c r="G425" s="14" t="inlineStr">
        <is>
          <t>Machzor Rosh Hashanah Ashkenaz, Reading of the Torah, Yekum Purkon</t>
        </is>
      </c>
      <c r="H425" s="12" t="inlineStr">
        <is>
          <t>The Metsudah Machzor. Metsudah Publications, New York -- he (paragraph ed.) — CC-BY</t>
        </is>
      </c>
      <c r="I425" s="12" t="inlineStr">
        <is>
          <t>sefaria-machzor-rosh-hashanah-ashkenaz-reading-of-the-torah-yekum-purkon</t>
        </is>
      </c>
    </row>
    <row r="426" ht="250" customHeight="1">
      <c r="A426" s="7">
        <f>IF(LEN(TRIM(F426))=0,"Approved","Comment to address")</f>
        <v/>
      </c>
      <c r="B426" s="8" t="inlineStr">
        <is>
          <t>Kaddish d'Rabanan</t>
        </is>
      </c>
      <c r="C426" s="8" t="inlineStr">
        <is>
          <t>source</t>
        </is>
      </c>
      <c r="D426" s="8" t="inlineStr">
        <is>
          <t>Ashkenaz</t>
        </is>
      </c>
      <c r="E426" s="9"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וּמְזוֹנֵי רְוִיחֵי וּפוּרְקָנָא מִן קֳדָם אֲבוּהוֹן דְבִשְׁמַיָּא וְאַרְעָא וְאִמְרוּ אָמֵן: יְהֵא שְׁלָמָא רַבָּא מִן שְׁמַיָּא וְחַיִּים טוֹבִים עָלֵֽינוּ וְעַל כָּל יִשְׂרָאֵל וְאִמְרוּ אָמֵן: עוֹשֶׂה הַשָּׁלוֹם בִּמְרוֹמָיו הוּא יַעֲשֶׂה בְרַחֲמָיו שָׁלוֹם עָלֵֽינוּ וְעַל כָּל יִשְׂרָאֵל וְאִמְרוּ אָמֵן:</t>
        </is>
      </c>
      <c r="F426" s="10" t="inlineStr"/>
      <c r="G426" s="11" t="inlineStr">
        <is>
          <t>Machzor Rosh Hashanah Ashkenaz, Musaf, First Day of Rosh Hashana, Kaddish d'Rabanan</t>
        </is>
      </c>
      <c r="H426" s="8" t="inlineStr">
        <is>
          <t>The Metsudah Machzor. Metsudah Publications, New York -- he (paragraph ed.) — CC-BY</t>
        </is>
      </c>
      <c r="I426" s="8" t="inlineStr">
        <is>
          <t>sefaria-machzor-rosh-hashanah-ashkenaz-musaf-first-day-of-rosh-hashana-kaddish-d-rabanan</t>
        </is>
      </c>
    </row>
    <row r="427" ht="352" customHeight="1">
      <c r="A427" s="7">
        <f>IF(LEN(TRIM(F427))=0,"Approved","Comment to address")</f>
        <v/>
      </c>
      <c r="B427" s="12" t="inlineStr">
        <is>
          <t>Aleinu</t>
        </is>
      </c>
      <c r="C427" s="12" t="inlineStr">
        <is>
          <t>source</t>
        </is>
      </c>
      <c r="D427" s="12" t="inlineStr">
        <is>
          <t>Ashkenaz</t>
        </is>
      </c>
      <c r="E427" s="13"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עוֹל מַלְכוּתֶֽךָ, וְתִמְלֹךְ עֲלֵיהֶם מְהֵרָה לְעוֹלָם וָעֶד, כִּי הַמַּלְכוּת שֶׁלְּךָ הִיא וּלְעֽוֹלְמֵי עַד תִּמְלוֹךְ בְּכָבוֹד, כַּכָּתוּב בְּתוֹרָתֶֽךָ יְהֹוָה יִמְלֹךְ לְעֹלָם וָעֶד: חזן: וְנֶאֱמַר וְהָיָה יְהֹוָה לְמֶֽלֶךְ עַל כָּל הָאָֽרֶץ בַּיּוֹם הַהוּא יִהְיֶה יְהֹוָה אֶחָד וּשְׁמוֹ אֶחָד:</t>
        </is>
      </c>
      <c r="F427" s="10" t="inlineStr"/>
      <c r="G427" s="14" t="inlineStr">
        <is>
          <t>Machzor Rosh Hashanah Ashkenaz, Musaf, First Day of Rosh Hashana, Aleinu</t>
        </is>
      </c>
      <c r="H427" s="12" t="inlineStr">
        <is>
          <t>The Metsudah Machzor. Metsudah Publications, New York -- he (paragraph ed.) — CC-BY</t>
        </is>
      </c>
      <c r="I427" s="12" t="inlineStr">
        <is>
          <t>sefaria-machzor-rosh-hashanah-ashkenaz-musaf-first-day-of-rosh-hashana-aleinu</t>
        </is>
      </c>
    </row>
    <row r="428" ht="250" customHeight="1">
      <c r="A428" s="7">
        <f>IF(LEN(TRIM(F428))=0,"Approved","Comment to address")</f>
        <v/>
      </c>
      <c r="B428" s="8" t="inlineStr">
        <is>
          <t>Kaddish d'Rabanan</t>
        </is>
      </c>
      <c r="C428" s="8" t="inlineStr">
        <is>
          <t>source</t>
        </is>
      </c>
      <c r="D428" s="8" t="inlineStr">
        <is>
          <t>Ashkenaz</t>
        </is>
      </c>
      <c r="E428" s="9"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וּמְזוֹנֵי רְוִיחֵי וּפוּרְקָנָא מִן קֳדָם אֲבוּהוֹן דְבִשְׁמַיָּא וְאַרְעָא וְאִמְרוּ אָמֵן: יְהֵא שְׁלָמָא רַבָּא מִן שְׁמַיָּא וְחַיִּים טוֹבִים עָלֵֽינוּ וְעַל כָּל יִשְׂרָאֵל וְאִמְרוּ אָמֵן: עוֹשֶׂה הַשָּׁלוֹם בִּמְרוֹמָיו הוּא יַעֲשֶׂה בְרַחֲמָיו שָׁלוֹם עָלֵֽינוּ וְעַל כָּל יִשְׂרָאֵל וְאִמְרוּ אָמֵן:</t>
        </is>
      </c>
      <c r="F428" s="10" t="inlineStr"/>
      <c r="G428" s="11" t="inlineStr">
        <is>
          <t>Machzor Rosh Hashanah Ashkenaz, Musaf, Second Day of Rosh Hashana, Kaddish d'Rabanan</t>
        </is>
      </c>
      <c r="H428" s="8" t="inlineStr">
        <is>
          <t>The Metsudah Machzor. Metsudah Publications, New York -- he (paragraph ed.) — CC-BY</t>
        </is>
      </c>
      <c r="I428" s="8" t="inlineStr">
        <is>
          <t>sefaria-machzor-rosh-hashanah-ashkenaz-musaf-second-day-of-rosh-hashana-kaddish-d-rabanan</t>
        </is>
      </c>
    </row>
    <row r="429" ht="352" customHeight="1">
      <c r="A429" s="7">
        <f>IF(LEN(TRIM(F429))=0,"Approved","Comment to address")</f>
        <v/>
      </c>
      <c r="B429" s="12" t="inlineStr">
        <is>
          <t>Aleinu</t>
        </is>
      </c>
      <c r="C429" s="12" t="inlineStr">
        <is>
          <t>source</t>
        </is>
      </c>
      <c r="D429" s="12" t="inlineStr">
        <is>
          <t>Ashkenaz</t>
        </is>
      </c>
      <c r="E429" s="13"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עוֹל מַלְכוּתֶֽךָ, וְתִמְלֹךְ עֲלֵיהֶם מְהֵרָה לְעוֹלָם וָעֶד, כִּי הַמַּלְכוּת שֶׁלְּךָ הִיא וּלְעֽוֹלְמֵי עַד תִּמְלוֹךְ בְּכָבוֹד, כַּכָּתוּב בְּתוֹרָתֶֽךָ יְהֹוָה יִמְלֹךְ לְעֹלָם וָעֶד: חזן: וְנֶאֱמַר וְהָיָה יְהֹוָה לְמֶֽלֶךְ עַל כָּל הָאָֽרֶץ בַּיּוֹם הַהוּא יִהְיֶה יְהֹוָה אֶחָד וּשְׁמוֹ אֶחָד:</t>
        </is>
      </c>
      <c r="F429" s="10" t="inlineStr"/>
      <c r="G429" s="14" t="inlineStr">
        <is>
          <t>Machzor Rosh Hashanah Ashkenaz, Musaf, Second Day of Rosh Hashana, Aleinu</t>
        </is>
      </c>
      <c r="H429" s="12" t="inlineStr">
        <is>
          <t>The Metsudah Machzor. Metsudah Publications, New York -- he (paragraph ed.) — CC-BY</t>
        </is>
      </c>
      <c r="I429" s="12" t="inlineStr">
        <is>
          <t>sefaria-machzor-rosh-hashanah-ashkenaz-musaf-second-day-of-rosh-hashana-aleinu</t>
        </is>
      </c>
    </row>
    <row r="430" ht="352" customHeight="1">
      <c r="A430" s="7">
        <f>IF(LEN(TRIM(F430))=0,"Approved","Comment to address")</f>
        <v/>
      </c>
      <c r="B430" s="8" t="inlineStr">
        <is>
          <t>Aleinu</t>
        </is>
      </c>
      <c r="C430" s="8" t="inlineStr">
        <is>
          <t>daily</t>
        </is>
      </c>
      <c r="D430" s="8" t="inlineStr">
        <is>
          <t>Ashkenaz</t>
        </is>
      </c>
      <c r="E430" s="9" t="inlineStr">
        <is>
          <t>עָלֵֽינוּ לְשַׁבֵּֽחַ לַאֲדוֹן הַכֹּל לָתֵת גְּדֻלָּה לְיוֹצֵר בְּרֵאשִׁית שֶׁלֹּא עָשָֽׂנוּ כְּגוֹיֵי הָאֲרָצוֹת וְלֹא שָׂמָֽנוּ כְּמִשְׁפְּחוֹת הָאֲדָמָה שֶׁלֹּא שָׂם חֶלְקֵֽנוּ כָּהֶם וְגוֹרָלֵֽנוּ כְּכָל הֲמוֹנָם: שֶׁהֵם מִשְׁתַּחֲוִים לָהֶֽבֶל וָרִיק וּמִתְפַּלְּלִים אֶל אֵל לֹא יוֹשִֽׁיעַ, וַאֲנַֽחְנוּ כּוֹרְעִים וּמִשְׁתַּחֲוִים וּמוֹדִים לִפְנֵי מֶֽלֶךְ מַלְכֵי הַמְּלָכִים הַקָּדוֹשׁ בָּרוּךְ הוּא, שֶׁהוּא נוֹטֶה שָׁמַֽיִם וְיוֹסֵד אָֽרֶץ, וּמוֹשַׁב יְקָרוֹ בַּשָּׁמַֽיִם מִמַּֽעַל, וּשְׁכִינַת עֻזּוֹ בְּגָבְהֵי מְרוֹמִים, הוּא אֱלֹהֵֽינוּ אֵין עוֹד, אֱמֶת מַלְכֵּֽנוּ אֶֽפֶס זוּלָתוֹ כַּכָּתוּב בְּתוֹרָתוֹ וְיָדַעְתָּ הַיּוֹם וַהֲשֵׁבֹתָ אֶל לְבָבֶֽךָ כִּי יְהֹוָה הוּא הָאֱלֹהִים בַּשָּׁמַֽיִם מִמַּֽעַל וְעַל הָאָֽרֶץ מִתָּֽחַת אֵין עוֹד:
עַל כֵּן נְקַוֶּה לְךָ יְהֹוָה אֱלֹהֵֽינוּ לִרְאוֹת מְהֵרָה בְּתִפְאֶֽרֶת עֻזֶּֽךָ לְהַעֲבִיר גִּלּוּלִים מִן הָאָֽרֶץ וְהָאֱלִילִים כָּרוֹת יִכָּרֵתוּן לְתַקֵּן עוֹלָם בְּמַלְכוּת שַׁדַּי וְכָל בְּנֵי בָשָׂר יִקְרְאוּ בִשְׁמֶֽךָ, לְהַפְנוֹת אֵלֶֽיךָ כָּל רִשְׁעֵי אָֽרֶץ, יַכִּֽירוּ וְיֵדְעוּ כָּל יוֹשְׁבֵי תֵבֵל כִּי לְךָ תִכְרַע כָּל בֶּֽרֶךְ תִּשָּׁבַע כָּל לָשׁוֹן: לְפָנֶֽיךָ יְהֹוָה אֱלֹהֵֽינוּ יִכְרְעוּ וְיִפֹּֽלוּ, וְלִכְבוֹד שִׁמְךָ יְקָר יִתֵּֽנוּ, וִיקַבְּלוּ כֻלָּם אֶת עוֹל מַלְכוּתֶֽךָ, וְתִמְלֹךְ עֲלֵיהֶם מְהֵרָה לְעוֹלָם וָעֶד, כִּי הַמַּלְכוּת שֶׁלְּךָ הִיא וּלְעֽוֹלְמֵי עַד תִּמְלוֹךְ בְּכָבוֹד, כַּכָּתוּב בְּתוֹרָתֶֽךָ יְהֹוָה יִמְלֹךְ לְעֹלָם וָעֶד: חזן: וְנֶאֱמַר וְהָיָה יְהֹוָה לְמֶֽלֶךְ עַל כָּל הָאָֽרֶץ בַּיּוֹם הַהוּא יִהְיֶה יְהֹוָה אֶחָד וּשְׁמוֹ אֶחָד:</t>
        </is>
      </c>
      <c r="F430" s="10" t="inlineStr"/>
      <c r="G430" s="11" t="inlineStr">
        <is>
          <t>Machzor Rosh Hashanah Ashkenaz, Mincha, Aleinu</t>
        </is>
      </c>
      <c r="H430" s="8" t="inlineStr">
        <is>
          <t>The Metsudah Machzor. Metsudah Publications, New York -- he (paragraph ed.) — CC-BY</t>
        </is>
      </c>
      <c r="I430" s="8" t="inlineStr">
        <is>
          <t>sefaria-machzor-rosh-hashanah-ashkenaz-mincha-aleinu</t>
        </is>
      </c>
    </row>
    <row r="431" ht="165" customHeight="1">
      <c r="A431" s="7">
        <f>IF(LEN(TRIM(F431))=0,"Approved","Comment to address")</f>
        <v/>
      </c>
      <c r="B431" s="12" t="inlineStr">
        <is>
          <t>Mourner's Kaddish</t>
        </is>
      </c>
      <c r="C431" s="12" t="inlineStr">
        <is>
          <t>daily</t>
        </is>
      </c>
      <c r="D431" s="12" t="inlineStr">
        <is>
          <t>Ashkenaz</t>
        </is>
      </c>
      <c r="E431"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31" s="10" t="inlineStr"/>
      <c r="G431" s="14" t="inlineStr">
        <is>
          <t>Machzor Rosh Hashanah Ashkenaz, Mincha, Mourner's Kaddish</t>
        </is>
      </c>
      <c r="H431" s="12" t="inlineStr">
        <is>
          <t>The Metsudah Machzor. Metsudah Publications, New York -- he (paragraph ed.) — CC-BY</t>
        </is>
      </c>
      <c r="I431" s="12" t="inlineStr">
        <is>
          <t>sefaria-machzor-rosh-hashanah-ashkenaz-mincha-mourner-s-kaddish</t>
        </is>
      </c>
    </row>
    <row r="432" ht="409" customHeight="1">
      <c r="A432" s="7">
        <f>IF(LEN(TRIM(F432))=0,"Approved","Comment to address")</f>
        <v/>
      </c>
      <c r="B432" s="8" t="inlineStr">
        <is>
          <t>Mourner's Kaddish</t>
        </is>
      </c>
      <c r="C432" s="8" t="inlineStr">
        <is>
          <t>daily</t>
        </is>
      </c>
      <c r="D432" s="8" t="inlineStr">
        <is>
          <t>Ashkenaz</t>
        </is>
      </c>
      <c r="E432" s="9"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 כָּל בִּרְכָתָא וְשִׁירָתָא,
תֻּשְׁבְּחָתָא וְנֶחֱמָתָא,
דַּאֲמִירָן בְּעָלְמָא, וְאִמְרוּ אָמֵן:
יְהֵא שְׁלָמָא רַבָּא מִן שְׁמַיָּא
וְחַיִּים עָלֵֽינוּ וְעַל כָּל יִשְׂרָאֵל
וְאִמְרוּ אָמֵן:
עוֹשֶׂה שָׁלוֹם
בִּמְרוֹמָיו
הוּא יַעֲשֶׂה שָׁלוֹם
עָלֵינוּ וְעַל כָּל יִשְׂרָאֵל
וְאִמְרוּ אָמֵן</t>
        </is>
      </c>
      <c r="F432" s="10" t="inlineStr"/>
      <c r="G432" s="11" t="inlineStr">
        <is>
          <t>Machzor Rosh Hashanah Ashkenaz Linear, Mincha for Erev Rosh Hashana, Mourner's Kaddish</t>
        </is>
      </c>
      <c r="H432" s="8" t="inlineStr">
        <is>
          <t>The Metsudah Machzor. Metsudah Publications, New York -- he — CC-BY</t>
        </is>
      </c>
      <c r="I432" s="8" t="inlineStr">
        <is>
          <t>sefaria-machzor-rosh-hashanah-ashkenaz-linear-mincha-for-erev-rosh-hashana-mourner-s-kaddish</t>
        </is>
      </c>
    </row>
    <row r="433" ht="409" customHeight="1">
      <c r="A433" s="7">
        <f>IF(LEN(TRIM(F433))=0,"Approved","Comment to address")</f>
        <v/>
      </c>
      <c r="B433" s="12" t="inlineStr">
        <is>
          <t>Mourner's Kaddish</t>
        </is>
      </c>
      <c r="C433" s="12" t="inlineStr">
        <is>
          <t>daily</t>
        </is>
      </c>
      <c r="D433" s="12" t="inlineStr">
        <is>
          <t>Ashkenaz</t>
        </is>
      </c>
      <c r="E433"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33" s="10" t="inlineStr"/>
      <c r="G433" s="14" t="inlineStr">
        <is>
          <t>Machzor Rosh Hashanah Ashkenaz Linear, Maariv, Mourner's Kaddish</t>
        </is>
      </c>
      <c r="H433" s="12" t="inlineStr">
        <is>
          <t>The Metsudah Machzor. Metsudah Publications, New York -- he — CC-BY</t>
        </is>
      </c>
      <c r="I433" s="12" t="inlineStr">
        <is>
          <t>sefaria-machzor-rosh-hashanah-ashkenaz-linear-maariv-mourner-s-kaddish</t>
        </is>
      </c>
    </row>
    <row r="434" ht="409" customHeight="1">
      <c r="A434" s="7">
        <f>IF(LEN(TRIM(F434))=0,"Approved","Comment to address")</f>
        <v/>
      </c>
      <c r="B434" s="8" t="inlineStr">
        <is>
          <t>Blessings Upon Arising</t>
        </is>
      </c>
      <c r="C434" s="8" t="inlineStr">
        <is>
          <t>daily</t>
        </is>
      </c>
      <c r="D434" s="8" t="inlineStr">
        <is>
          <t>Ashkenaz</t>
        </is>
      </c>
      <c r="E434" s="9" t="inlineStr">
        <is>
          <t>בָּרוּךְ אַתָּה יְהֹוָה
אֱלֹהֵֽינוּ מֶֽלֶךְ הָעוֹלָם
אֲשֶׁר קִדְּשָֽׁנוּ בְּמִצְוֹתָיו
וְצִוָּֽנוּ
עַל נְטִילַת יָדָֽיִם:
בָּרוּךְ אַתָּה יְהֹוָה
אֱלֹהֵֽינוּ מֶֽלֶךְ הָעוֹלָם
אֲשֶׁר יָצַר אֶת 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 בָּשָׂר
וּמַפְלִיא לַעֲשׂוֹת:
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434" s="10" t="inlineStr"/>
      <c r="G434" s="11" t="inlineStr">
        <is>
          <t>Machzor Rosh Hashanah Ashkenaz Linear, The Morning Prayers, Blessings Upon Arising</t>
        </is>
      </c>
      <c r="H434" s="8" t="inlineStr">
        <is>
          <t>The Metsudah Machzor. Metsudah Publications, New York -- he — CC-BY</t>
        </is>
      </c>
      <c r="I434" s="8" t="inlineStr">
        <is>
          <t>sefaria-machzor-rosh-hashanah-ashkenaz-linear-the-morning-prayers-blessings-upon-arising</t>
        </is>
      </c>
    </row>
    <row r="435" ht="409" customHeight="1">
      <c r="A435" s="7">
        <f>IF(LEN(TRIM(F435))=0,"Approved","Comment to address")</f>
        <v/>
      </c>
      <c r="B435" s="12" t="inlineStr">
        <is>
          <t>Mourner's Kaddish</t>
        </is>
      </c>
      <c r="C435" s="12" t="inlineStr">
        <is>
          <t>daily</t>
        </is>
      </c>
      <c r="D435" s="12" t="inlineStr">
        <is>
          <t>Ashkenaz</t>
        </is>
      </c>
      <c r="E435"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35" s="10" t="inlineStr"/>
      <c r="G435" s="14" t="inlineStr">
        <is>
          <t>Machzor Rosh Hashanah Ashkenaz Linear, The Morning Prayers, Mourner's Kaddish</t>
        </is>
      </c>
      <c r="H435" s="12" t="inlineStr">
        <is>
          <t>The Metsudah Machzor. Metsudah Publications, New York -- he — CC-BY</t>
        </is>
      </c>
      <c r="I435" s="12" t="inlineStr">
        <is>
          <t>sefaria-machzor-rosh-hashanah-ashkenaz-linear-the-morning-prayers-mourner-s-kaddish</t>
        </is>
      </c>
    </row>
    <row r="436" ht="409" customHeight="1">
      <c r="A436" s="7">
        <f>IF(LEN(TRIM(F436))=0,"Approved","Comment to address")</f>
        <v/>
      </c>
      <c r="B436" s="8" t="inlineStr">
        <is>
          <t>Sancification of the Day</t>
        </is>
      </c>
      <c r="C436" s="8" t="inlineStr">
        <is>
          <t>daily</t>
        </is>
      </c>
      <c r="D436" s="8" t="inlineStr">
        <is>
          <t>Ashkenaz</t>
        </is>
      </c>
      <c r="E436" s="9" t="inlineStr">
        <is>
          <t>אַתָּה בְחַרְתָּֽנוּ מִכָּל הָעַמִּים.
אָהַֽבְתָּ אוֹתָֽנוּ וְרָצִֽיתָ בָּֽנוּ.
וְרוֹמַמְתָּֽנוּ מִכָּל הַלְּשׁוֹנוֹת.
וְקִדַּשְׁתָּֽנוּ
בְּמִצְוֹתֶֽיךָ.
וְקֵרַבְתָּֽנוּ מַלְכֵּֽנוּ לַעֲבוֹדָתֶֽךָ.
וְשִׁמְךָ הַגָּדוֹל וְהַקָּדוֹשׁ
עָלֵֽינוּ קָרָֽאתָ:
וַתִּתֶּן לָֽנוּ יְהֹוָה אֱלֹהֵֽינוּ
בְּאַהֲבָה
אֶת־יוֹם הַזִּכָּרוֹן הַזֶּה.
יוֹם
תְּרוּעָה
מִקְרָא קֹֽדֶשׁ
זֵֽכֶר לִיצִיאַת מִצְרָֽיִם:
אֱלֹהֵֽינוּ וֵאלֹהֵי אֲבוֹתֵֽינוּ
יַעֲלֶה וְיָבֹא וְיַגִּֽיעַ
וְיֵרָאֶה וְיֵרָצֶה וְיִשָּׁמַע
וְיִפָּקֵד וְיִזָּכֵר
זִכְרוֹנֵֽנוּ וּפִקְדוֹנֵֽנוּ
וְזִכְרוֹן אֲבוֹתֵֽינוּ
וְזִכְרוֹן מָשִֽׁיחַ
בֶּן דָּוִד עַבְדֶּֽךָ
וְזִכְרוֹן יְרוּשָׁלַֽיִם
עִיר קָדְשֶֽׁךָ
וְזִכְרוֹן כָּל עַמְּךָ
בֵּית יִשְׂרָאֵל לְפָנֶֽיךָ.
לִפְלֵיטָה לְטוֹבָה
לְחֵן וּלְחֶֽסֶד וּלְרַחֲמִים
לְחַיִּים וּלְשָׁלוֹם
בְּיוֹם הַזִּכָּרוֹן הַזֶּה.
זָכְרֵֽנוּ יְהֹוָה אֱלֹהֵֽינוּ
בּוֹ לְטוֹבָה.
וּפָקְדֵֽנוּ בוֹ לִבְרָכָה.
וְהוֹשִׁיעֵֽנוּ בוֹ לְחַיִּים.
וּבִדְבַר יְשׁוּעָה
וְרַחֲמִים
חוּס וְחָנֵּֽנוּ.
וְרַחֵם עָלֵֽינוּ וְהוֹשִׁיעֵֽנוּ.
כִּי אֵלֶֽיךָ עֵינֵֽינוּ.
כִּי אֵל
מֶֽלֶךְ חַנּוּן וְרַחוּם אָֽתָּה:
אֱלֹהֵֽינוּ וֵאלֹהֵי אֲבוֹתֵֽינוּ.
מְלוֹךְ עַל כָּל הָעוֹלָם כֻּלּוֹ
בִּכְבוֹדֶֽךָ
וְהִנָּשֵׂא עַל כָּל הָאָֽרֶץ
בִּיקָרֶֽךָ
וְהוֹפַע
בַּהֲדַר גְּאוֹן עֻזֶּֽךָ
עַל כָּל יוֹשְׁבֵי
תֵבֵל אַרְצֶֽךָ.
וְיֵדַע כָּל פָּעוּל
כִּי אַתָּה פְעַלְתּוֹ
וְיָבִין
כָּל יְצוּר
כִּי אַתָּה יְצַרְתּוֹ
וְיֹאמַר
כֹּל אֲשֶׁר נְשָׁמָה בְאַפּוֹ
יְהֹוָה אֱלֹהֵי יִשְׂרָאֵל מֶֽלֶךְ
וּמַלְכוּתוֹ בַּכֹּל מָשָֽׁלָה:
קַדְּשֵֽׁנוּ בְּמִצְוֹתֶֽיךָ
וְתֵן חֶלְקֵֽנוּ בְּתוֹרָתֶֽךָ
שַׂבְּעֵֽנוּ מִטּוּבֶֽךָ
וְשַׂמְּחֵֽנוּ בִּישׁוּעָתֶֽךָ:
וְטַהֵר לִבֵּֽנוּ לְעָבְדְּךָ בֶּאֱמֶת
כִּי אַתָּה אֱלֹהִים אֱמֶת
וּדְבָרְךָ אֱמֶת וְקַיָּם לָעַד.
בָּרוּךְ אַתָּה יְהֹוָה
מֶֽלֶךְ עַל כָּל הָאָֽרֶץ
מְקַדֵּשׁ
יִשְׂרָאֵל וְיוֹם הַזִּכָּרוֹן:</t>
        </is>
      </c>
      <c r="F436" s="10" t="inlineStr"/>
      <c r="G436" s="11" t="inlineStr">
        <is>
          <t>Machzor Rosh Hashanah Ashkenaz Linear, The Morning Prayers, Second Day of Rosh Hashana, Sancification of the Day</t>
        </is>
      </c>
      <c r="H436" s="8" t="inlineStr">
        <is>
          <t>The Metsudah Machzor. Metsudah Publications, New York -- he — CC-BY</t>
        </is>
      </c>
      <c r="I436" s="8" t="inlineStr">
        <is>
          <t>sefaria-machzor-rosh-hashanah-ashkenaz-linear-the-morning-prayers-second-day-of-rosh-hashana-sancification-of-the-day</t>
        </is>
      </c>
    </row>
    <row r="437" ht="409" customHeight="1">
      <c r="A437" s="7">
        <f>IF(LEN(TRIM(F437))=0,"Approved","Comment to address")</f>
        <v/>
      </c>
      <c r="B437" s="12" t="inlineStr">
        <is>
          <t>Kaddish d'Rabanan</t>
        </is>
      </c>
      <c r="C437" s="12" t="inlineStr">
        <is>
          <t>source</t>
        </is>
      </c>
      <c r="D437" s="12" t="inlineStr">
        <is>
          <t>Ashkenaz</t>
        </is>
      </c>
      <c r="E437"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וּמְזוֹנֵי רְוִיחֵי וּפוּרְקָנָא
מִן קֳדָם אֲבוּהוֹן
דְבִשְׁמַיָּא וְאַרְעָא
וְאִמְרוּ אָמֵן:
יְהֵא שְׁלָמָא רַבָּא מִן שְׁמַיָּא
וְחַיִּים טוֹבִים
עָלֵֽינוּ וְעַל כָּל יִשְׂרָאֵל
וְאִמְרוּ אָמֵן:
עוֹשֶׂה הַשָּׁלוֹם
בִּמְרוֹמָיו
הוּא יַעֲשֶׂה בְרַחֲמָיו שָׁלוֹם
עָלֵֽינוּ וְעַל כָּל יִשְׂרָאֵל
וְאִמְרוּ אָמֵן:</t>
        </is>
      </c>
      <c r="F437" s="10" t="inlineStr"/>
      <c r="G437" s="14" t="inlineStr">
        <is>
          <t>Machzor Rosh Hashanah Ashkenaz Linear, Musaf, First Day of Rosh Hashana, Kaddish d'Rabanan</t>
        </is>
      </c>
      <c r="H437" s="12" t="inlineStr">
        <is>
          <t>The Metsudah Machzor. Metsudah Publications, New York -- he — CC-BY</t>
        </is>
      </c>
      <c r="I437" s="12" t="inlineStr">
        <is>
          <t>sefaria-machzor-rosh-hashanah-ashkenaz-linear-musaf-first-day-of-rosh-hashana-kaddish-d-rabanan</t>
        </is>
      </c>
    </row>
    <row r="438" ht="409" customHeight="1">
      <c r="A438" s="7">
        <f>IF(LEN(TRIM(F438))=0,"Approved","Comment to address")</f>
        <v/>
      </c>
      <c r="B438" s="8" t="inlineStr">
        <is>
          <t>Kaddish d'Rabanan</t>
        </is>
      </c>
      <c r="C438" s="8" t="inlineStr">
        <is>
          <t>source</t>
        </is>
      </c>
      <c r="D438" s="8" t="inlineStr">
        <is>
          <t>Ashkenaz</t>
        </is>
      </c>
      <c r="E438" s="9"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וּמְזוֹנֵי רְוִיחֵי וּפוּרְקָנָא
מִן קֳדָם אֲבוּהוֹן
דְבִשְׁמַיָּא וְאַרְעָא
וְאִמְרוּ אָמֵן:
יְהֵא שְׁלָמָא רַבָּא מִן שְׁמַיָּא
וְחַיִּים טוֹבִים
עָלֵֽינוּ וְעַל כָּל יִשְׂרָאֵל
וְאִמְרוּ אָמֵן:
עוֹשֶׂה הַשָּׁלוֹם
בִּמְרוֹמָיו
הוּא יַעֲשֶׂה בְרַחֲמָיו שָׁלוֹם
עָלֵֽינוּ וְעַל כָּל יִשְׂרָאֵל
וְאִמְרוּ אָמֵן:</t>
        </is>
      </c>
      <c r="F438" s="10" t="inlineStr"/>
      <c r="G438" s="11" t="inlineStr">
        <is>
          <t>Machzor Rosh Hashanah Ashkenaz Linear, Musaf, Second Day of Rosh Hashana, Kaddish d'Rabanan</t>
        </is>
      </c>
      <c r="H438" s="8" t="inlineStr">
        <is>
          <t>The Metsudah Machzor. Metsudah Publications, New York -- he — CC-BY</t>
        </is>
      </c>
      <c r="I438" s="8" t="inlineStr">
        <is>
          <t>sefaria-machzor-rosh-hashanah-ashkenaz-linear-musaf-second-day-of-rosh-hashana-kaddish-d-rabanan</t>
        </is>
      </c>
    </row>
    <row r="439" ht="409" customHeight="1">
      <c r="A439" s="7">
        <f>IF(LEN(TRIM(F439))=0,"Approved","Comment to address")</f>
        <v/>
      </c>
      <c r="B439" s="12" t="inlineStr">
        <is>
          <t>Mourner's Kaddish</t>
        </is>
      </c>
      <c r="C439" s="12" t="inlineStr">
        <is>
          <t>daily</t>
        </is>
      </c>
      <c r="D439" s="12" t="inlineStr">
        <is>
          <t>Ashkenaz</t>
        </is>
      </c>
      <c r="E439"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39" s="10" t="inlineStr"/>
      <c r="G439" s="14" t="inlineStr">
        <is>
          <t>Machzor Rosh Hashanah Ashkenaz Linear, Mincha, Mourner's Kaddish</t>
        </is>
      </c>
      <c r="H439" s="12" t="inlineStr">
        <is>
          <t>The Metsudah Machzor. Metsudah Publications, New York -- he — CC-BY</t>
        </is>
      </c>
      <c r="I439" s="12" t="inlineStr">
        <is>
          <t>sefaria-machzor-rosh-hashanah-ashkenaz-linear-mincha-mourner-s-kaddish</t>
        </is>
      </c>
    </row>
    <row r="440" ht="409" customHeight="1">
      <c r="A440" s="7">
        <f>IF(LEN(TRIM(F440))=0,"Approved","Comment to address")</f>
        <v/>
      </c>
      <c r="B440" s="8" t="inlineStr">
        <is>
          <t>Mourner's Kaddish</t>
        </is>
      </c>
      <c r="C440" s="8" t="inlineStr">
        <is>
          <t>daily</t>
        </is>
      </c>
      <c r="D440" s="8" t="inlineStr">
        <is>
          <t>Ashkenaz</t>
        </is>
      </c>
      <c r="E440" s="9"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40" s="10" t="inlineStr"/>
      <c r="G440" s="11" t="inlineStr">
        <is>
          <t>Machzor Yom Kippur Ashkenaz Linear, Maariv Service for Yom Kippur Eve, Mourner's Kaddish</t>
        </is>
      </c>
      <c r="H440" s="8" t="inlineStr">
        <is>
          <t>The Metsudah Machzor. Metsudah Publications, New York — CC-BY</t>
        </is>
      </c>
      <c r="I440" s="8" t="inlineStr">
        <is>
          <t>sefaria-machzor-yom-kippur-ashkenaz-linear-maariv-service-for-yom-kippur-eve-mourner-s-kaddish</t>
        </is>
      </c>
    </row>
    <row r="441" ht="409" customHeight="1">
      <c r="A441" s="7">
        <f>IF(LEN(TRIM(F441))=0,"Approved","Comment to address")</f>
        <v/>
      </c>
      <c r="B441" s="12" t="inlineStr">
        <is>
          <t>Blessings Upon Arising</t>
        </is>
      </c>
      <c r="C441" s="12" t="inlineStr">
        <is>
          <t>daily</t>
        </is>
      </c>
      <c r="D441" s="12" t="inlineStr">
        <is>
          <t>Ashkenaz</t>
        </is>
      </c>
      <c r="E441" s="13" t="inlineStr">
        <is>
          <t>בָּרוּךְ אַתָּה יְהֹוָה
אֱלֹהֵֽינוּ מֶֽלֶךְ הָעוֹלָם
אֲשֶׁר קִדְּשָֽׁנוּ בְּמִצְוֹתָיו
וְצִוָּֽנוּ
עַל נְטִילַת יָדָֽיִם:
בָּרוּךְ אַתָּה יְהֹוָה
אֱלֹהֵֽינוּ מֶֽלֶךְ הָעוֹלָם
אֲשֶׁר יָצַר אֶת 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 בָּשָׂר
וּמַפְלִיא לַעֲשׂוֹת:
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is>
      </c>
      <c r="F441" s="10" t="inlineStr"/>
      <c r="G441" s="14" t="inlineStr">
        <is>
          <t>Machzor Yom Kippur Ashkenaz Linear, The Morning Prayers, Blessings Upon Arising</t>
        </is>
      </c>
      <c r="H441" s="12" t="inlineStr">
        <is>
          <t>The Metsudah Machzor. Metsudah Publications, New York — CC-BY</t>
        </is>
      </c>
      <c r="I441" s="12" t="inlineStr">
        <is>
          <t>sefaria-machzor-yom-kippur-ashkenaz-linear-the-morning-prayers-blessings-upon-arising</t>
        </is>
      </c>
    </row>
    <row r="442" ht="409" customHeight="1">
      <c r="A442" s="7">
        <f>IF(LEN(TRIM(F442))=0,"Approved","Comment to address")</f>
        <v/>
      </c>
      <c r="B442" s="8" t="inlineStr">
        <is>
          <t>Blessings of the Torah</t>
        </is>
      </c>
      <c r="C442" s="8" t="inlineStr">
        <is>
          <t>daily</t>
        </is>
      </c>
      <c r="D442" s="8" t="inlineStr">
        <is>
          <t>Ashkenaz</t>
        </is>
      </c>
      <c r="E442" s="9" t="inlineStr">
        <is>
          <t>בָּרוּךְ אַתָּה יְהֹוָה
אֱלֹהֵֽינוּ מֶֽלֶךְ הָעוֹלָם
אֲשֶׁר קִדְּשָֽׁנוּ
בְּמִצְוֹתָיו
וְצִוָּֽנוּ
לַעֲסֹק בְּדִבְרֵי תוֹרָה:
וְהַעֲרֶב נָא יְהֹוָה אֱלֹהֵֽינוּ
אֶת דִּבְרֵי תוֹרָתְךָ בְּפִֽינוּ
וּבְפִי עַמְּךָ בֵּית יִשְׂרָאֵל
וְנִהְיֶה אֲנַֽחְנוּ וְצֶאֱצָאֵֽינוּ
וְצֶאֱצָאֵי עַמְּךָ
בֵּית יִשְׂרָאֵל
כֻּלָּֽנוּ יוֹדְעֵי שְׁמֶֽךָ
וְלוֹמְדֵי תוֹרָתֶֽךָ לִשְׁמָהּ:
בָּרוּךְ אַתָּה יְהֹוָה
הַמְלַמֵּד תּוֹרָה לְעַמּוֹ יִשְׂרָאֵל:
בָּרוּךְ אַתָּה יְהֹוָה
אֱלֹהֵֽינוּ מֶֽלֶךְ הָעוֹלָם
אֲשֶׁר בָּֽחַר בָּֽנוּ מִכָּל הָעַמִּים
וְנָֽתַן לָֽנוּ אֶת תּוֹרָתוֹ:
בָּרוּךְ אַתָּה יְהֹוָה
נוֹתֵן הַתּוֹרָה:
יְבָרֶכְךָ יְהֹוָה וְיִשְׁמְרֶֽךָ:
יָאֵר יְהֹוָה
פָּנָיו אֵלֶֽיךָ
וִיחֻנֶּֽךָּ:
יִשָּׂא יְהֹוָה
פָּנָיו אֵלֶֽיךָ
וְיָשֵׂם לְךָ שָׁלוֹם:
אֵֽלּוּ דְבָרִים
שֶׁאֵין לָהֶם שִׁעוּר
הַפֵּאָה
וְהַבִּכּוּרִים
וְהָרְאָיוֹן
וּגְמִילוּת חֲסָדִים
וְתַלְמוּד תּוֹרָה:
אֵֽלּוּ דְבָרִים
שֶׁאָדָם אוֹכֵל פֵּרוֹתֵיהֶם
בָּעוֹלָם הַזֶּה
וְהַקֶּֽרֶן
קַיֶּֽמֶת לוֹ לָעוֹלָם הַבָּא,
וְאֵֽלּוּ הֵן
כִּבּוּד אָב וָאֵם
וּגְמִילוּת חֲסָדִים
וְהַשְׁכָּמַת בֵּית הַמִּדְרָשׁ
שַׁחֲרִית וְעַרְבִית
וְהַכְנָסַת אוֹרְחִים
וּבִקּוּר חוֹלִים
וְהַכְנָסַת כַּלָּה
וּלְוָיַת הַמֵּת
וְעִיּוּן תְּפִלָּה
וַהֲבָאַת שָׁלוֹם בֵּין אָדָם לַחֲבֵרוֹ
וְתַלְמוּד תּוֹרָה כְּנֶֽגֶד כֻּלָּם:</t>
        </is>
      </c>
      <c r="F442" s="10" t="inlineStr"/>
      <c r="G442" s="11" t="inlineStr">
        <is>
          <t>Machzor Yom Kippur Ashkenaz Linear, The Morning Prayers, Blessings of the Torah</t>
        </is>
      </c>
      <c r="H442" s="8" t="inlineStr">
        <is>
          <t>The Metsudah Machzor. Metsudah Publications, New York — CC-BY</t>
        </is>
      </c>
      <c r="I442" s="8" t="inlineStr">
        <is>
          <t>sefaria-machzor-yom-kippur-ashkenaz-linear-the-morning-prayers-blessings-of-the-torah</t>
        </is>
      </c>
    </row>
    <row r="443" ht="409" customHeight="1">
      <c r="A443" s="7">
        <f>IF(LEN(TRIM(F443))=0,"Approved","Comment to address")</f>
        <v/>
      </c>
      <c r="B443" s="12" t="inlineStr">
        <is>
          <t>Mourner's Kaddish</t>
        </is>
      </c>
      <c r="C443" s="12" t="inlineStr">
        <is>
          <t>daily</t>
        </is>
      </c>
      <c r="D443" s="12" t="inlineStr">
        <is>
          <t>Ashkenaz</t>
        </is>
      </c>
      <c r="E443" s="13" t="inlineStr">
        <is>
          <t>יִתְגַּדַּל וְיִתְקַדַּשׁ שְׁמֵהּ רַבָּא
בְּעָלְמָא דִּי בְרָא
כִרְעוּתֵהּ
וְיַמְלִיךְ מַלְכוּתֵהּ
בְּחַיֵּיכוֹן וּבְיוֹמֵיכוֹן
וּבְחַיֵּי
דְכָל 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וּלְעֵֽלָּא
מִכָּל בִּרְכָתָא וְשִׁירָתָא,
תֻּשְׁבְּחָתָא וְנֶחֱמָתָא,
דַּאֲמִירָן בְּעָלְמָא, וְאִמְרוּ אָמֵן:
יְהֵא שְׁלָמָא רַבָּא מִן שְׁמַיָּא
וְחַיִּים
עָלֵֽינוּ וְעַל כָּל יִשְׂרָאֵל
וְאִמְרוּ אָמֵן:
עוֹשֶׂה הַשָּׁלוֹם
בִּמְרוֹמָיו
הוּא יַעֲשֶׂה שָׁלוֹם
עָלֵינוּ וְעַל כָּל יִשְׂרָאֵל
וְאִמְרוּ אָמֵן:</t>
        </is>
      </c>
      <c r="F443" s="10" t="inlineStr"/>
      <c r="G443" s="14" t="inlineStr">
        <is>
          <t>Machzor Yom Kippur Ashkenaz Linear, The Morning Prayers, Mourner's Kaddish</t>
        </is>
      </c>
      <c r="H443" s="12" t="inlineStr">
        <is>
          <t>The Metsudah Machzor. Metsudah Publications, New York — CC-BY</t>
        </is>
      </c>
      <c r="I443" s="12" t="inlineStr">
        <is>
          <t>sefaria-machzor-yom-kippur-ashkenaz-linear-the-morning-prayers-mourner-s-kaddish</t>
        </is>
      </c>
    </row>
    <row r="444" ht="409" customHeight="1">
      <c r="A444" s="7">
        <f>IF(LEN(TRIM(F444))=0,"Approved","Comment to address")</f>
        <v/>
      </c>
      <c r="B444" s="8" t="inlineStr">
        <is>
          <t>First Day</t>
        </is>
      </c>
      <c r="C444" s="8" t="inlineStr">
        <is>
          <t>repentance</t>
        </is>
      </c>
      <c r="D444" s="8" t="inlineStr">
        <is>
          <t>Ashkenaz Lita</t>
        </is>
      </c>
      <c r="E444" s="9"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44" s="10" t="inlineStr"/>
      <c r="G444" s="11" t="inlineStr">
        <is>
          <t>Selichot Nusach Ashkenaz Lita, First Day.2</t>
        </is>
      </c>
      <c r="H444" s="8" t="inlineStr">
        <is>
          <t>Selichot Nusach Lita -- Wikisource — CC-BY-SA</t>
        </is>
      </c>
      <c r="I444" s="8" t="inlineStr">
        <is>
          <t>sefaria-selichot-nusach-ashkenaz-lita-first-day-2</t>
        </is>
      </c>
    </row>
    <row r="445" ht="409" customHeight="1">
      <c r="A445" s="7">
        <f>IF(LEN(TRIM(F445))=0,"Approved","Comment to address")</f>
        <v/>
      </c>
      <c r="B445" s="12" t="inlineStr">
        <is>
          <t>First Day</t>
        </is>
      </c>
      <c r="C445" s="12" t="inlineStr">
        <is>
          <t>repentance</t>
        </is>
      </c>
      <c r="D445" s="12" t="inlineStr">
        <is>
          <t>Ashkenaz Lita</t>
        </is>
      </c>
      <c r="E445"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45" s="10" t="inlineStr"/>
      <c r="G445" s="14" t="inlineStr">
        <is>
          <t>Selichot Nusach Ashkenaz Lita, First Day.7</t>
        </is>
      </c>
      <c r="H445" s="12" t="inlineStr">
        <is>
          <t>Selichot Nusach Lita -- Wikisource — CC-BY-SA</t>
        </is>
      </c>
      <c r="I445" s="12" t="inlineStr">
        <is>
          <t>sefaria-selichot-nusach-ashkenaz-lita-first-day-7</t>
        </is>
      </c>
    </row>
    <row r="446" ht="409" customHeight="1">
      <c r="A446" s="7">
        <f>IF(LEN(TRIM(F446))=0,"Approved","Comment to address")</f>
        <v/>
      </c>
      <c r="B446" s="8" t="inlineStr">
        <is>
          <t>First Day</t>
        </is>
      </c>
      <c r="C446" s="8" t="inlineStr">
        <is>
          <t>repentance</t>
        </is>
      </c>
      <c r="D446" s="8" t="inlineStr">
        <is>
          <t>Ashkenaz Lita</t>
        </is>
      </c>
      <c r="E446" s="9" t="inlineStr">
        <is>
          <t>אֵל רַחוּם שְׁמֶֽךָ. אֵל חַנּוּן שְׁמֶֽךָ. בָּֽנוּ נִקְרָא שְׁמֶֽךָ. יְהֹוָה עֲשֵׂה לְמַֽעַן שְׁמֶֽךָ: עֲשֵׂה לְמַֽעַן אֲמִתָּךְ. עֲשֵׂה לְמַֽעַן בְּרִיתָךְ. עֲשֵׁה לְמַֽעַן גָּדְלָךְ וְתִפְאַרְתָּךְ. עֲשֵׂה לְמַֽעַן דָּתָךְ. עֲשֵׂה לְמַֽעַן הוֹדָךְ. עֲשֵׂה לְמַֽעַן וִעוּדָךְ. עֲשֵׂה לְמַֽעַן זִכְרָךְ. עֲשֵׂה לְמַֽעַן חַסְדָּךְ. עֲשֵׂה לְמַעַן טוּבָךְ. עֲשֵׂה לְמַֽעַן יִחוּדָךְ. עֲשֵׂה לְמַֽעַן כְּבוֹדָךְ. עֲשֵׂה לְמַֽעַן לִמּוּדָךְ. עֲשֵׂה לְמַֽעַן מַלְכוּתָךְ. עֲשֵׂה לְמַֽעַן נִצְחָךְ. עֲשֵׂה לְמַֽעַן סוֹדָךְ. עֲשֵׂה לְמַֽעַן עֻזָּךְ. עֲשֵׂה לְמַֽעַן פְּאֵרָךְ. עֲשֵׂה לְמַֽעַן צִדְקָתָךְ. עֲשֵׂה לְמַֽעַן קְדֻשָּׁתָךְ. עֲשֵׂה לְמַֽעַן רַחֲמֶֽיךָ הָרַבִּים. עֲשֵׂה לְמַֽעַן שְׁכִינָתָךְ. עֲשֵׂה לְמַֽעַן תְּהִלָּתָךְ. עֲשֵׂה לְמַֽעַן אוֹהֲבֶֽיךָ שֹׁכְנֵי עָפָר. עֲשֵׂה לְמַֽעַן אַבְרָהָם יִצְחָק וְיַעֲקֹב. עֲשֵׂה לְמַֽעַן משֶׁה וְאַהֲרֹן, עֲשֵׂה לְמַֽעַן דָּוִד וּשְׁלֹמֹה. עֲשֵׂה לְמַֽעַן יְרוּשָׁלַֽיִם עִיר קָדְשֶֽׁךָ. עֲשֵׂה לְמַֽעַן צִיּוֹן מִשְׁכַּן כְּבוֹדֶֽךָ. עֲשֵׂה לְמַֽעַן שִׁמְמוֹת הֵיכָלֶֽךָ. עֲשֵׂה לְמַֽעַן הֲרִיסוּת מִזְבְּחֶֽךָ. עֲשֵׂה לְמַֽעַן דַּם עֲבָדֶיךָ הַשָּׁפוּךְ. עֲשֵׂה לְמַֽעַן הֲרוּגִים עַל שֵׁם קָדְשֶֽׁךָ. עֲשֵׂה לְמַֽעַן טְבוּחִים עַל יִחוּדֶֽךָ. עֲשֵׂה לְמַֽעַן בָּאֵי בָאֵשׁ וּבַמַּֽיִם עַל קִדּוּשׁ שְׁמֶֽךָ. עֲשֵׂה לְמַֽעַן יוֹנְקֵי שָׁדַֽיִם שֶׁלֹּא חָטְאוּ. עֲשֵׂה לְמַֽעַן גְּמוּלֵי חָלָב שֶׁלֹּא פָשְׁעוּ. עֲשֵׂה לְמַֽעַן תִּינוֹקוֹת שֶׁל בֵּית רַבָּן. עֲשֵׂה לְמַעַנְךָ אִם לֹא לְמַעֲנֵֽנוּ. עֲשֵׂה לְמַעַנְךָ וְהוֹשִׁיעֵֽנוּ:
עֲנֵנוּ יְהֹוָה עֲנֵנוּ. עֲנֵֽנוּ אֱלֹהֵֽינוּ עֲנֵֽנוּ. עֲנֵֽנוּ אָבִֽינוּ עֲנֵֽנוּ. עֲנֵֽנוּ בּוֹרְאֵֽנוּ עֲנֵֽנוּ. עֲנֵנוּ גּוֹאֲלֵֽנוּ עֲנֵֽנוּ. עֲנֵנוּ דוֹרְשֵׁנוּ עֲנֵֽנוּ. עֲנֵנוּ הָאֵל הַנֶּאֱמָן עֲנֵֽנוּ. עֲנֵנוּ וָתִיק וְחָסִיד עֲנֵֽנוּ. עֲנֵֽנוּ זַךְ וְיָשָׁר עֲנֵֽנוּ. עֲנֵֽנוּ חַי וְקַיָּם עֲנֵֽנוּ: עֲנֵֽנוּ טוֹב וּמֵטִיב עֲנֵֽנוּ. עֲנֵנוּ יוֹדֵֽעַ יֶֽצֶר עֲנֵֽנוּ. עֲנֵֽנוּ כּוֹבֵשׁ כְּעָסִים עֲנֵֽנוּ. עֲנֵֽנוּ לוֹבֵשׁ צְדָקוֹת עֲנֵֽנוּ. עֲנֵֽנוּ מֶֽלֶךְ מַלְכֵי הַמְלָכִים עֲנֵֽנוּ. עֲנֵֽנוּ נוֹרָא וְנִשְׂגָּב עֲנֵֽנוּ. עֲנֵֽנוּ סוֹלֵחַ וּמוֹחֵל עֲנֵֽנוּ. עֲנֵֽנוּ עוֹנֶה בְּעֵת צָרָה עֲנֵֽנוּ. עֲנֵֽנוּ פּוֹדֶה וּמַצִּיל עֲנֵֽנוּ. עֲנֵֽנוּ צַדִּיק וְיָשָׁר עֲנֵנוּ. עֲנֵֽנוּ קָרוֹב לְקוֹרְאָיו עֲנֵֽנוּ. עֲנֵֽנוּ רַחוּם וְחַנּוּן עֲנֵֽנוּ. עֲנֵֽנוּ שׁוֹמֵֽעַ אֶל אֶבְיוֹנִים עֲנֵֽנוּ. עֲנֵֽנוּ תּוֹמֵךְ תְּמִימִים עֲנֵֽנוּ. עֲנֵֽנוּ אֱלֹהֵי אֲבוֹתֵֽינוּ עֲנֵֽנוּ. עֲנֵֽנוּ אֱלֹהֵי אַבְרָהָם עֲנֵֽנוּ. עֲנֵֽנוּ פַּֽחַד יִצְחָק עֲנֵֽנוּ. עֲנֵֽנוּ אֲבִיר יַעֲקֹב עֲנֵנוּ. עֲנֵֽנוּ עֶזְרַת הַשְּׁבָטִים עֲנֵֽנוּ. עֲנֵֽנוּ מִשְׂגַּב אִמָּהוֹת עֲנֵֽנוּ. עֲנֵנוּ קָשֶׁה לִכְעוֹס עֲנֵֽנוּ. עֲנֵנוּ רַךְ לִרְצוֹת עֲנֵֽנוּ. עֲנֵֽנוּ עוֹנֶה בְּעֵת רָצוֹן עֲנֵֽנוּ. עֲנֵֽנוּ אֲבִי יְתוֹמִים עֲנֵֽנוּ. עֲנֵֽנוּ דַיַּן אַלְמָנוֹת עֲנֵֽנוּ:
מִי שֶׁעָנָה לְאַבְרָהָם אָבִֽינוּ בְּהַר הַמּוֹרִיָּה הוּא יַעֲנֵֽנוּ: מִי שֶׁעָנָה לְיִצְחָק בְּנוֹ כְּשֶׁנֶּעֱקַד עַל גַּבֵּי הַמִּזְבֵּֽחַ הוּא יַעֲנֵֽנוּ: מִי שֶׁעָנָה לְיַעֲקֹב בְּבֵית אֵל הוּא יַעֲנֵנוּ: מִי שֶׁעָנָה לְיוֹסֵף בְּבֵית הָאֲסוּרִים הוּא יַעֲנֵֽנוּ: מִי שֶׁעָנָה לַאֲבוֹתֵֽינוּ עַל יַם סוּף הוּא יַעֲנֵֽנוּ: מִי שֶׁעָנָה לְמשֶׁה בְּחוֹרֵב הוּא יַעֲנֵֽנוּ: מִי שֶׁעָנָה לְאַהֲרֹן בַּמַּחְתָּה הוּא יַעֲנֵֽנוּ: מִי שֶׁעָנָה לְפִינְחָס בְּקוּמוֹ מִתּוֹךְ הָעֵדָה הוּא יַעֲנֵֽנוּ: מִי שֶׁעָנָה לִיהוֹשֻֽׁעַ בַּגִּלְגָּל הוּא יַעֲנֵֽנוּ: מִי שֶׁעָנָה לִשְׁמוּאֵל בַּמִּצְפָּה הוּא יַעֲנֵֽנוּ: מִי שֶׁעָנָה לְדָוִד וּשְׁלֹמֹה בְנוֹ בִּירוּשָׁלָֽיִם הוּא יַעֲנֵֽנוּ: מִי שֶׁעָנָה לְאֵלִיָּֽהוּ בְּהַר הַכַּרְמֶל הוּא יַעֲנֵֽנוּ: מִי שֶׁעָנָה לֶאֱלִישָׁע בִּירִיחוֹ הוּא יַעֲנֵֽנוּ: מִי שֶׁעָנָה לְיוֹנָה בִמְעֵי הַדָּגָה הוּא יַעֲנֵֽנוּ: מִי שֶׁעָנָה לְחִזְּקִיָֽהוּ מֶֽלֶךְ יְהוּדָה בְּחָלְיוֹ, הוּא יַעֲנֵֽנוּ: מִי שֶׁעָנָה לַחֲנַנְיָה מִישָׁאֵל וַעֲזַרְיָה בְּתוֹךְ כִּבְשַׁן הָאֵשׁ הוּא יַעֲנֵֽנוּ: מִי שֶׁעָנָה לְדָנִיֵּאל בְּגוֹב הָאֲרָיוֹת הוּא יַעֲנֵנוּ: מִי שֶׁעָנָה לְמָרְדְּכַי וְאֶסְתֵּר בְּשׁוּשַׁן הַבִּירָה הוּא יַעֲנֵֽנוּ: מִי שֶׁעָנָה לְעֶזְרָא בַגּוֹלָה הוּא יַעֲנֵֽנוּ: מִי שֶׁעָנָה לְכָל הַצַדִּיקִים וְהַחֲסִידִים וְהַתְּמִימִים וְהַיְשָׁרִים הוּא יַעֲנֵֽנוּ:
רַחְמָנָא דְעָנֵי לַעֲנִיֵּי עֲנֵינָן. רַחֲמָנָא דְעָנֵי לִתְבִירֵי לִבָּא עֲנֵינָן. רַחֲמָנָא דְעָנֵי לְמַכִּיכֵי רוּחָא עֲנֵינָן. רַחֲמָנָא עֲנֵינָן. רַחֲמָנָא חוּס. רַחֲמָנָא פְּרוֹק. רַחֲמָנָא שְׁזִיב. רַחֲמָנָא רְחַם עֲלָן. הַשְׁתָּא בַּעֲגָלָא וּבִזְמַן קָרִיב:
וַיֹּֽאמֶר דָּוִד אֶל־גָּד צַר־לִי מְאֹד נִפְּלָה־נָּא בְיַד־יְהֹוָה כִּי־רַבִּים רַחֲמָיו וּבְיַד־אָדָם אַל־אֶפֹּֽלָה:
רַחוּם וְחַנּוּן חָטָֽאתִי לְפָנֶֽיךָ יְהֹוָה מָלֵא רַחֲמִים רַחֵם עָלַי וְקַבֵּל תַּחֲנוּנָי: יְהֹוָה אַל־בְּאַפְּךָ תוֹכִיחֵֽנִי וְאַל־בַּחֲמָתְךָ תְיַסְּרֵֽנִי: חָנֵּֽנִי יְהֹוָה כִּי אֻמְלַל אָֽנִי רְפָאֵֽנִי יְהֹוָה כִּי נִבְהֲלוּ עֲצָמָי: וְנַפְשִׁי נִבְהֲלָה מְאֹד וְאַתָּה יְהֹוָה עַד־מָתָי: שׁוּבָה יְהֹוָה חַלְּצָה נַפְשִׁי הוֹשִׁיעֵֽנִי לְמַֽעַן חַסְדֶּֽךָ: כִּי אֵין בַּמָּֽוֶת זִכְרֶךָ בִּשְׁאוֹל מִי־יוֹדֶה לָּךְ: יָגַֽעְתִּי־בְּאַנְחָתִי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t>
        </is>
      </c>
      <c r="F446" s="10" t="inlineStr"/>
      <c r="G446" s="11" t="inlineStr">
        <is>
          <t>Selichot Nusach Ashkenaz Lita, First Day.9</t>
        </is>
      </c>
      <c r="H446" s="8" t="inlineStr">
        <is>
          <t>Selichot Nusach Lita -- Wikisource — CC-BY-SA</t>
        </is>
      </c>
      <c r="I446" s="8" t="inlineStr">
        <is>
          <t>sefaria-selichot-nusach-ashkenaz-lita-first-day-9</t>
        </is>
      </c>
    </row>
    <row r="447" ht="409" customHeight="1">
      <c r="A447" s="7">
        <f>IF(LEN(TRIM(F447))=0,"Approved","Comment to address")</f>
        <v/>
      </c>
      <c r="B447" s="12" t="inlineStr">
        <is>
          <t>Second Day</t>
        </is>
      </c>
      <c r="C447" s="12" t="inlineStr">
        <is>
          <t>repentance</t>
        </is>
      </c>
      <c r="D447" s="12" t="inlineStr">
        <is>
          <t>Ashkenaz Lita</t>
        </is>
      </c>
      <c r="E447"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47" s="10" t="inlineStr"/>
      <c r="G447" s="14" t="inlineStr">
        <is>
          <t>Selichot Nusach Ashkenaz Lita, Second Day.6</t>
        </is>
      </c>
      <c r="H447" s="12" t="inlineStr">
        <is>
          <t>Selichot Nusach Lita -- Wikisource — CC-BY-SA</t>
        </is>
      </c>
      <c r="I447" s="12" t="inlineStr">
        <is>
          <t>sefaria-selichot-nusach-ashkenaz-lita-second-day-6</t>
        </is>
      </c>
    </row>
    <row r="448" ht="409" customHeight="1">
      <c r="A448" s="7">
        <f>IF(LEN(TRIM(F448))=0,"Approved","Comment to address")</f>
        <v/>
      </c>
      <c r="B448" s="8" t="inlineStr">
        <is>
          <t>Third Day</t>
        </is>
      </c>
      <c r="C448" s="8" t="inlineStr">
        <is>
          <t>repentance</t>
        </is>
      </c>
      <c r="D448" s="8" t="inlineStr">
        <is>
          <t>Ashkenaz Lita</t>
        </is>
      </c>
      <c r="E448"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48" s="10" t="inlineStr"/>
      <c r="G448" s="11" t="inlineStr">
        <is>
          <t>Selichot Nusach Ashkenaz Lita, Third Day.6</t>
        </is>
      </c>
      <c r="H448" s="8" t="inlineStr">
        <is>
          <t>Selichot Nusach Lita -- Wikisource — CC-BY-SA</t>
        </is>
      </c>
      <c r="I448" s="8" t="inlineStr">
        <is>
          <t>sefaria-selichot-nusach-ashkenaz-lita-third-day-6</t>
        </is>
      </c>
    </row>
    <row r="449" ht="409" customHeight="1">
      <c r="A449" s="7">
        <f>IF(LEN(TRIM(F449))=0,"Approved","Comment to address")</f>
        <v/>
      </c>
      <c r="B449" s="12" t="inlineStr">
        <is>
          <t>Fourth Day</t>
        </is>
      </c>
      <c r="C449" s="12" t="inlineStr">
        <is>
          <t>repentance</t>
        </is>
      </c>
      <c r="D449" s="12" t="inlineStr">
        <is>
          <t>Ashkenaz Lita</t>
        </is>
      </c>
      <c r="E449"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49" s="10" t="inlineStr"/>
      <c r="G449" s="14" t="inlineStr">
        <is>
          <t>Selichot Nusach Ashkenaz Lita, Fourth Day.6</t>
        </is>
      </c>
      <c r="H449" s="12" t="inlineStr">
        <is>
          <t>Selichot Nusach Lita -- Wikisource — CC-BY-SA</t>
        </is>
      </c>
      <c r="I449" s="12" t="inlineStr">
        <is>
          <t>sefaria-selichot-nusach-ashkenaz-lita-fourth-day-6</t>
        </is>
      </c>
    </row>
    <row r="450" ht="409" customHeight="1">
      <c r="A450" s="7">
        <f>IF(LEN(TRIM(F450))=0,"Approved","Comment to address")</f>
        <v/>
      </c>
      <c r="B450" s="8" t="inlineStr">
        <is>
          <t>Fifth Day</t>
        </is>
      </c>
      <c r="C450" s="8" t="inlineStr">
        <is>
          <t>repentance</t>
        </is>
      </c>
      <c r="D450" s="8" t="inlineStr">
        <is>
          <t>Ashkenaz Lita</t>
        </is>
      </c>
      <c r="E450"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50" s="10" t="inlineStr"/>
      <c r="G450" s="11" t="inlineStr">
        <is>
          <t>Selichot Nusach Ashkenaz Lita, Fifth Day.6</t>
        </is>
      </c>
      <c r="H450" s="8" t="inlineStr">
        <is>
          <t>Selichot Nusach Lita -- Wikisource — CC-BY-SA</t>
        </is>
      </c>
      <c r="I450" s="8" t="inlineStr">
        <is>
          <t>sefaria-selichot-nusach-ashkenaz-lita-fifth-day-6</t>
        </is>
      </c>
    </row>
    <row r="451" ht="409" customHeight="1">
      <c r="A451" s="7">
        <f>IF(LEN(TRIM(F451))=0,"Approved","Comment to address")</f>
        <v/>
      </c>
      <c r="B451" s="12" t="inlineStr">
        <is>
          <t>Sixth Day</t>
        </is>
      </c>
      <c r="C451" s="12" t="inlineStr">
        <is>
          <t>repentance</t>
        </is>
      </c>
      <c r="D451" s="12" t="inlineStr">
        <is>
          <t>Ashkenaz Lita</t>
        </is>
      </c>
      <c r="E451"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51" s="10" t="inlineStr"/>
      <c r="G451" s="14" t="inlineStr">
        <is>
          <t>Selichot Nusach Ashkenaz Lita, Sixth Day.6</t>
        </is>
      </c>
      <c r="H451" s="12" t="inlineStr">
        <is>
          <t>Selichot Nusach Lita -- Wikisource — CC-BY-SA</t>
        </is>
      </c>
      <c r="I451" s="12" t="inlineStr">
        <is>
          <t>sefaria-selichot-nusach-ashkenaz-lita-sixth-day-6</t>
        </is>
      </c>
    </row>
    <row r="452" ht="409" customHeight="1">
      <c r="A452" s="7">
        <f>IF(LEN(TRIM(F452))=0,"Approved","Comment to address")</f>
        <v/>
      </c>
      <c r="B452" s="8" t="inlineStr">
        <is>
          <t>Seventh Day</t>
        </is>
      </c>
      <c r="C452" s="8" t="inlineStr">
        <is>
          <t>repentance</t>
        </is>
      </c>
      <c r="D452" s="8" t="inlineStr">
        <is>
          <t>Ashkenaz Lita</t>
        </is>
      </c>
      <c r="E452"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52" s="10" t="inlineStr"/>
      <c r="G452" s="11" t="inlineStr">
        <is>
          <t>Selichot Nusach Ashkenaz Lita, Seventh Day.6</t>
        </is>
      </c>
      <c r="H452" s="8" t="inlineStr">
        <is>
          <t>Selichot Nusach Lita -- Wikisource — CC-BY-SA</t>
        </is>
      </c>
      <c r="I452" s="8" t="inlineStr">
        <is>
          <t>sefaria-selichot-nusach-ashkenaz-lita-seventh-day-6</t>
        </is>
      </c>
    </row>
    <row r="453" ht="409" customHeight="1">
      <c r="A453" s="7">
        <f>IF(LEN(TRIM(F453))=0,"Approved","Comment to address")</f>
        <v/>
      </c>
      <c r="B453" s="12" t="inlineStr">
        <is>
          <t>Erev Rosh Hashana</t>
        </is>
      </c>
      <c r="C453" s="12" t="inlineStr">
        <is>
          <t>repentance</t>
        </is>
      </c>
      <c r="D453" s="12" t="inlineStr">
        <is>
          <t>Ashkenaz Lita</t>
        </is>
      </c>
      <c r="E453" s="13" t="inlineStr">
        <is>
          <t>שְׁמַע יִשְׂרָאֵל יְהֹוָה אֱלֹהֵינוּ יְהֹוָה אֶחָד:
מַלְכֵּנוּ בָּאנוּ בְּכֹחַ יִחוּדֶךָ. כִּי־אֵין לָנוּ בַּמֶּה לְקַדְּמֶךָ. כִּי אִם מַלְכוּתְךָ וּמַעְבָּדֶיךָ. לָכֵן בְּכָל לֵב נְיַחֲדֶךָ: נְיַחֲדֶךָ יַחַד גְּדוֹלֵינוּ וּקְטַנֵּינוּ. מְחָק נָא שְׁטָרֵי חוֹבוֹתֵינוּ. וּכְתֹב בְּסֵפֶר הַחַיִּים זִכְרוֹנֵנוּ. וְתִגְזֹר עַתָּה לְהֵיטִיב שְׁנוֹתֵינוּ:
שְׁמַע יִשְׂרָאֵל יְהֹוָה אֱלֹהֵינוּ יְהֹוָה אֶחָד:
סְגֻלָּה אֲשֶׁר־פָּדִיתָ בְּמַסּוֹת בְּאוֹתוֹת וּבְנִסִּים. בְּשִׁמְךָ חוֹסִים וְעַל־שְׁמַע פּוֹרְסִים. אֵלֶּה בָרֶכֶב וְאֵלֶּה בַסּוּסִים. וַאֲנַחְנוּ בְּשֵׁם־יְהֹוָה אֱלֹהֵינוּ עוֹמְסִים: עוֹמְסִים בְּיִרְאָה וּבְפַחַד וּבְרַעַד. לְעוֹדְדָם מֵאֻמּוֹת וּלְהַסְעַד. כְּמוֹ בְּדִבְרֵי קָדְשְׁךָ מוּעַד. הֵמַּה כָּרְעוּ וְנָפָלוּ וַאֲנַחְנוּ קַמְנוּ וַנִּתְעוֹדָד:
שְׁמַע יִשְׂרָאֵל יְהֹוָה אֱלֹהֵינוּ יְהֹוָה אֶחָד:
פַּסּוּ עֲבוֹדוֹת־פְּנִימָה וּשְׂעִירֵי כַפָּרָה. וְאָפֵס כֹּהֵן לְשַׁכֵּךְ עֶבְרָה. וְנִשְׁאַרְנוּ כְּלֵב אִשָּׁה מְצֵרָה. שְׁעוּנִים בְּאֹמֶר יַעַנְךָ יְהֹוָה בְּיוֹם צָרָה: צָרָה בִּהְיוֹת לְיַעֲקֹב. זֶה־יֹאמַר לַיהֹוָה־אָנִי בְּלִי לַעֲקֹב. וְזֶה יִקְרָא בְשֵׁם יַעֲקֹב. וְכֻלָּם שְׁעוּנִים בְּהַבְטָחַת שֵׁם אֱלֹהֵי יַעֲקֹב:
שְׁמַע יִשְׂרָאֵל יְהֹוָה אֱלֹהֵינוּ יְהֹוָה אֶחָד:
שִׁמְךָ בָּנוּ נִקְרָא רַב־עֲלִילוֹת. שְׁעֵה מֶנּוּ שַׁוְעָה וְקַבֵּל תְּפִלּוֹת. וְהָסֵר מֶנּוּ רֹעַ מַעֲלָלוֹת. וְאַתָּה קָדוֹשׁ יוֹשֵׁב תְּהִלּוֹת: תְּהִלּוֹת דַּר, הָקֵץ רְדוּמִים. חֲשׁוּכִים בֵּין הָאֻמִּים. פְּדֵם וְנַקֵּם מִכְּתָמִים. אֵל מֶלֶךְ יוֹשֵׁב עַל־כִּסֵּא רַחֲמִים: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53" s="10" t="inlineStr"/>
      <c r="G453" s="14" t="inlineStr">
        <is>
          <t>Selichot Nusach Ashkenaz Lita, Erev Rosh Hashana.23</t>
        </is>
      </c>
      <c r="H453" s="12" t="inlineStr">
        <is>
          <t>Selichot Nusach Lita -- Wikisource — CC-BY-SA</t>
        </is>
      </c>
      <c r="I453" s="12" t="inlineStr">
        <is>
          <t>sefaria-selichot-nusach-ashkenaz-lita-erev-rosh-hashana-23</t>
        </is>
      </c>
    </row>
    <row r="454" ht="409" customHeight="1">
      <c r="A454" s="7">
        <f>IF(LEN(TRIM(F454))=0,"Approved","Comment to address")</f>
        <v/>
      </c>
      <c r="B454" s="8" t="inlineStr">
        <is>
          <t>Fast of Gedaliah</t>
        </is>
      </c>
      <c r="C454" s="8" t="inlineStr">
        <is>
          <t>repentance</t>
        </is>
      </c>
      <c r="D454" s="8" t="inlineStr">
        <is>
          <t>Ashkenaz Lita</t>
        </is>
      </c>
      <c r="E454" s="9"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54" s="10" t="inlineStr"/>
      <c r="G454" s="11" t="inlineStr">
        <is>
          <t>Selichot Nusach Ashkenaz Lita, Fast of Gedaliah.2</t>
        </is>
      </c>
      <c r="H454" s="8" t="inlineStr">
        <is>
          <t>Selichot Nusach Lita -- Wikisource — CC-BY-SA</t>
        </is>
      </c>
      <c r="I454" s="8" t="inlineStr">
        <is>
          <t>sefaria-selichot-nusach-ashkenaz-lita-fast-of-gedaliah-2</t>
        </is>
      </c>
    </row>
    <row r="455" ht="409" customHeight="1">
      <c r="A455" s="7">
        <f>IF(LEN(TRIM(F455))=0,"Approved","Comment to address")</f>
        <v/>
      </c>
      <c r="B455" s="12" t="inlineStr">
        <is>
          <t>Second Day of the Ten Days of Penitence</t>
        </is>
      </c>
      <c r="C455" s="12" t="inlineStr">
        <is>
          <t>repentance</t>
        </is>
      </c>
      <c r="D455" s="12" t="inlineStr">
        <is>
          <t>Ashkenaz Lita</t>
        </is>
      </c>
      <c r="E455" s="13"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55" s="10" t="inlineStr"/>
      <c r="G455" s="14" t="inlineStr">
        <is>
          <t>Selichot Nusach Ashkenaz Lita, Second Day of the Ten Days of Penitence.2</t>
        </is>
      </c>
      <c r="H455" s="12" t="inlineStr">
        <is>
          <t>Selichot Nusach Lita -- Wikisource — CC-BY-SA</t>
        </is>
      </c>
      <c r="I455" s="12" t="inlineStr">
        <is>
          <t>sefaria-selichot-nusach-ashkenaz-lita-second-day-of-the-ten-days-of-penitence-2</t>
        </is>
      </c>
    </row>
    <row r="456" ht="409" customHeight="1">
      <c r="A456" s="7">
        <f>IF(LEN(TRIM(F456))=0,"Approved","Comment to address")</f>
        <v/>
      </c>
      <c r="B456" s="8" t="inlineStr">
        <is>
          <t>Third Day of the Ten Days of Penitence</t>
        </is>
      </c>
      <c r="C456" s="8" t="inlineStr">
        <is>
          <t>repentance</t>
        </is>
      </c>
      <c r="D456" s="8" t="inlineStr">
        <is>
          <t>Ashkenaz Lita</t>
        </is>
      </c>
      <c r="E456" s="9"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56" s="10" t="inlineStr"/>
      <c r="G456" s="11" t="inlineStr">
        <is>
          <t>Selichot Nusach Ashkenaz Lita, Third Day of the Ten Days of Penitence.2</t>
        </is>
      </c>
      <c r="H456" s="8" t="inlineStr">
        <is>
          <t>Selichot Nusach Lita -- Wikisource — CC-BY-SA</t>
        </is>
      </c>
      <c r="I456" s="8" t="inlineStr">
        <is>
          <t>sefaria-selichot-nusach-ashkenaz-lita-third-day-of-the-ten-days-of-penitence-2</t>
        </is>
      </c>
    </row>
    <row r="457" ht="409" customHeight="1">
      <c r="A457" s="7">
        <f>IF(LEN(TRIM(F457))=0,"Approved","Comment to address")</f>
        <v/>
      </c>
      <c r="B457" s="12" t="inlineStr">
        <is>
          <t>Fourth Day of the Ten Days of Penitence</t>
        </is>
      </c>
      <c r="C457" s="12" t="inlineStr">
        <is>
          <t>repentance</t>
        </is>
      </c>
      <c r="D457" s="12" t="inlineStr">
        <is>
          <t>Ashkenaz Lita</t>
        </is>
      </c>
      <c r="E457" s="13"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57" s="10" t="inlineStr"/>
      <c r="G457" s="14" t="inlineStr">
        <is>
          <t>Selichot Nusach Ashkenaz Lita, Fourth Day of the Ten Days of Penitence.2</t>
        </is>
      </c>
      <c r="H457" s="12" t="inlineStr">
        <is>
          <t>Selichot Nusach Lita -- Wikisource — CC-BY-SA</t>
        </is>
      </c>
      <c r="I457" s="12" t="inlineStr">
        <is>
          <t>sefaria-selichot-nusach-ashkenaz-lita-fourth-day-of-the-ten-days-of-penitence-2</t>
        </is>
      </c>
    </row>
    <row r="458" ht="409" customHeight="1">
      <c r="A458" s="7">
        <f>IF(LEN(TRIM(F458))=0,"Approved","Comment to address")</f>
        <v/>
      </c>
      <c r="B458" s="8" t="inlineStr">
        <is>
          <t>Fifth Day of the Ten Days of Penitence</t>
        </is>
      </c>
      <c r="C458" s="8" t="inlineStr">
        <is>
          <t>repentance</t>
        </is>
      </c>
      <c r="D458" s="8" t="inlineStr">
        <is>
          <t>Ashkenaz Lita</t>
        </is>
      </c>
      <c r="E458" s="9"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58" s="10" t="inlineStr"/>
      <c r="G458" s="11" t="inlineStr">
        <is>
          <t>Selichot Nusach Ashkenaz Lita, Fifth Day of the Ten Days of Penitence.2</t>
        </is>
      </c>
      <c r="H458" s="8" t="inlineStr">
        <is>
          <t>Selichot Nusach Lita -- Wikisource — CC-BY-SA</t>
        </is>
      </c>
      <c r="I458" s="8" t="inlineStr">
        <is>
          <t>sefaria-selichot-nusach-ashkenaz-lita-fifth-day-of-the-ten-days-of-penitence-2</t>
        </is>
      </c>
    </row>
    <row r="459" ht="409" customHeight="1">
      <c r="A459" s="7">
        <f>IF(LEN(TRIM(F459))=0,"Approved","Comment to address")</f>
        <v/>
      </c>
      <c r="B459" s="12" t="inlineStr">
        <is>
          <t>First Day</t>
        </is>
      </c>
      <c r="C459" s="12" t="inlineStr">
        <is>
          <t>repentance</t>
        </is>
      </c>
      <c r="D459" s="12" t="inlineStr">
        <is>
          <t>Ashkenaz Lita</t>
        </is>
      </c>
      <c r="E459" s="13"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59" s="10" t="inlineStr"/>
      <c r="G459" s="14" t="inlineStr">
        <is>
          <t>Selichot Nusach Lita Linear, First Day.2</t>
        </is>
      </c>
      <c r="H459" s="12" t="inlineStr">
        <is>
          <t>The Metsudah Selichos: Hebrew text, Metsudah Publications, 1986 — CC-BY</t>
        </is>
      </c>
      <c r="I459" s="12" t="inlineStr">
        <is>
          <t>sefaria-selichot-nusach-lita-linear-first-day-2</t>
        </is>
      </c>
    </row>
    <row r="460" ht="409" customHeight="1">
      <c r="A460" s="7">
        <f>IF(LEN(TRIM(F460))=0,"Approved","Comment to address")</f>
        <v/>
      </c>
      <c r="B460" s="8" t="inlineStr">
        <is>
          <t>First Day</t>
        </is>
      </c>
      <c r="C460" s="8" t="inlineStr">
        <is>
          <t>repentance</t>
        </is>
      </c>
      <c r="D460" s="8" t="inlineStr">
        <is>
          <t>Ashkenaz Lita</t>
        </is>
      </c>
      <c r="E460"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0" s="10" t="inlineStr"/>
      <c r="G460" s="11" t="inlineStr">
        <is>
          <t>Selichot Nusach Lita Linear, First Day.7</t>
        </is>
      </c>
      <c r="H460" s="8" t="inlineStr">
        <is>
          <t>The Metsudah Selichos: Hebrew text, Metsudah Publications, 1986 — CC-BY</t>
        </is>
      </c>
      <c r="I460" s="8" t="inlineStr">
        <is>
          <t>sefaria-selichot-nusach-lita-linear-first-day-7</t>
        </is>
      </c>
    </row>
    <row r="461" ht="409" customHeight="1">
      <c r="A461" s="7">
        <f>IF(LEN(TRIM(F461))=0,"Approved","Comment to address")</f>
        <v/>
      </c>
      <c r="B461" s="12" t="inlineStr">
        <is>
          <t>First Day</t>
        </is>
      </c>
      <c r="C461" s="12" t="inlineStr">
        <is>
          <t>repentance</t>
        </is>
      </c>
      <c r="D461" s="12" t="inlineStr">
        <is>
          <t>Ashkenaz Lita</t>
        </is>
      </c>
      <c r="E461" s="13" t="inlineStr">
        <is>
          <t>אֵל רַחוּם שְׁמֶֽךָ.
אֵל חַנּוּן שְׁמֶֽךָ.
בָּֽנוּ נִקְרָא שְׁמֶֽךָ.
יְהֹוָה עֲשֵׂה לְמַֽעַן שְׁמֶֽךָ:
עֲשֵׂה לְמַֽעַן אֲמִתָּךְ.
עֲשֵׂה לְמַֽעַן בְּרִיתָךְ.
עֲשֵׁה לְמַֽעַן גָּדְלָךְ וְתִפְאַרְתָּךְ.
עֲשֵׂה לְמַֽעַן דָּתָךְ.
עֲשֵׂה לְמַֽעַן הוֹדָךְ.
עֲשֵׂה לְמַֽעַן וִעוּדָךְ.
עֲשֵׂה לְמַֽעַן זִכְרָךְ.
עֲשֵׂה לְמַֽעַן חַסְדָּךְ.
עֲשֵׂה לְמַעַן טוּבָךְ.
עֲשֵׂה לְמַֽעַן יִחוּדָךְ.
עֲשֵׂה לְמַֽעַן כְּבוֹדָךְ.
עֲשֵׂה לְמַֽעַן לִמּוּדָךְ.
עֲשֵׂה לְמַֽעַן מַלְכוּתָךְ.
עֲשֵׂה לְמַֽעַן נִצְחָךְ.
עֲשֵׂה לְמַֽעַן סוֹדָךְ.
עֲשֵׂה לְמַֽעַן עֻזָּךְ.
עֲשֵׂה לְמַֽעַן פְּאֵרָךְ.
עֲשֵׂה לְמַֽעַן צִדְקָתָךְ.
עֲשֵׂה לְמַֽעַן קְדֻשָּׁתָךְ.
עֲשֵׂה לְמַֽעַן רַחֲמֶֽיךָ הָרַבִּים.
עֲשֵׂה לְמַֽעַן שְׁכִינָתָךְ.
עֲשֵׂה לְמַֽעַן תְּהִלָּתָךְ.
עֲשֵׂה לְמַֽעַן אוֹהֲבֶֽיךָ
שֹׁכְנֵי עָפָר.
עֲשֵׂה לְמַֽעַן אַבְרָהָם יִצְחָק
וְיַעֲקֹב.
עֲשֵׂה לְמַֽעַן משֶׁה וְאַהֲרֹן,
עֲשֵׂה לְמַֽעַן דָּוִד וּשְׁלֹמֹה.
עֲשֵׂה לְמַֽעַן יְרוּשָׁלַֽיִם
עִיר קָדְשֶֽׁךָ.
עֲשֵׂה לְמַֽעַן צִיּוֹן
מִשְׁכַּן כְּבוֹדֶֽךָ.
עֲשֵׂה לְמַֽעַן שִׁמְמוֹת
הֵיכָלֶֽךָ.
עֲשֵׂה לְמַֽעַן הֲרִיסוּת
מִזְבְּחֶֽךָ.
עֲשֵׂה לְמַֽעַן דַּם
עֲבָדֶיךָ הַשָּׁפוּךְ.
עֲשֵׂה לְמַֽעַן הֲרוּגִים
עַל שֵׁם קָדְשֶֽׁךָ.
עֲשֵׂה לְמַֽעַן טְבוּחִים
עַל יִחוּדֶֽךָ.
עֲשֵׂה לְמַֽעַן
בָּאֵי בָאֵשׁ וּבַמַּֽיִם
עַל קִדּוּשׁ שְׁמֶֽךָ.
עֲשֵׂה לְמַֽעַן יוֹנְקֵי שָׁדַֽיִם
שֶׁלֹּא חָטְאוּ.
עֲשֵׂה לְמַֽעַן גְּמוּלֵי חָלָב
שֶׁלֹּא פָשְׁעוּ.
עֲשֵׂה
לְמַֽעַן תִּינוֹקוֹת שֶׁל בֵּית רַבָּן.
עֲשֵׂה לְמַעַנְךָ אִם לֹא לְמַעֲנֵֽנוּ.
עֲשֵׂה לְמַעַנְךָ וְהוֹשִׁיעֵֽנוּ:
עֲנֵנוּ יְהֹוָה עֲנֵנוּ.
עֲנֵֽנוּ אֱלֹהֵֽינוּ עֲנֵֽנוּ.
עֲנֵֽנוּ אָבִֽינוּ עֲנֵֽנוּ.
עֲנֵֽנוּ בּוֹרְאֵֽנוּ עֲנֵֽנוּ.
עֲנֵנוּ גּוֹאֲלֵֽנוּ עֲנֵֽנוּ.
עֲנֵנוּ דוֹרְשֵׁנוּ עֲנֵֽנוּ.
עֲנֵנוּ הָאֵל הַנֶּאֱמָן עֲנֵֽנוּ.
עֲנֵנוּ וָתִיק וְחָסִיד
עֲנֵֽנוּ.
עֲנֵֽנוּ זַךְ וְיָשָׁר עֲנֵֽנוּ.
עֲנֵֽנוּ חַי וְקַיָּם
עֲנֵֽנוּ:
עֲנֵֽנוּ טוֹב וּמֵטִיב
עֲנֵֽנוּ.
עֲנֵנוּ יוֹדֵֽעַ יֶֽצֶר
עֲנֵֽנוּ.
עֲנֵֽנוּ כּוֹבֵשׁ כְּעָסִים עֲנֵֽנוּ.
עֲנֵֽנוּ לוֹבֵשׁ צְדָקוֹת
עֲנֵֽנוּ.
עֲנֵֽנוּ מֶֽלֶךְ מַלְכֵי הַמְלָכִים עֲנֵֽנוּ.
עֲנֵֽנוּ נוֹרָא וְנִשְׂגָּב
עֲנֵֽנוּ.
עֲנֵֽנוּ סוֹלֵחַ וּמוֹחֵל עֲנֵֽנוּ.
עֲנֵֽנוּ עוֹנֶה בְּעֵת צָרָה
עֲנֵֽנוּ.
עֲנֵֽנוּ פּוֹדֶה וּמַצִּיל עֲנֵֽנוּ.
עֲנֵֽנוּ צַדִּיק וְיָשָׁר עֲנֵנוּ.
עֲנֵֽנוּ
קָרוֹב לְקוֹרְאָיו
עֲנֵֽנוּ.
עֲנֵֽנוּ רַחוּם וְחַנּוּן
עֲנֵֽנוּ.
עֲנֵֽנוּ שׁוֹמֵֽעַ אֶל אֶבְיוֹנִים
עֲנֵֽנוּ.
עֲנֵֽנוּ תּוֹמֵךְ תְּמִימִים
עֲנֵֽנוּ.
עֲנֵֽנוּ אֱלֹהֵי אֲבוֹתֵֽינוּ עֲנֵֽנוּ.
עֲנֵֽנוּ אֱלֹהֵי אַבְרָהָם עֲנֵֽנוּ.
עֲנֵֽנוּ פַּֽחַד יִצְחָק עֲנֵֽנוּ.
עֲנֵֽנוּ אֲבִיר יַעֲקֹב עֲנֵנוּ.
עֲנֵֽנוּ עֶזְרַת הַשְּׁבָטִים עֲנֵֽנוּ.
עֲנֵֽנוּ מִשְׂגַּב אִמָּהוֹת
עֲנֵֽנוּ.
עֲנֵנוּ קָשֶׁה לִכְעוֹס
עֲנֵֽנוּ.
עֲנֵנוּ רַךְ לִרְצוֹת
עֲנֵֽנוּ.
עֲנֵֽנוּ עוֹנֶה בְּעֵת רָצוֹן
עֲנֵֽנוּ.
עֲנֵֽנוּ אֲבִי יְתוֹמִים עֲנֵֽנוּ.
עֲנֵֽנוּ דַיַּן אַלְמָנוֹת
עֲנֵֽנוּ:
מִי שֶׁעָנָה לְאַבְרָהָם אָבִֽינוּ
בְּהַר הַמּוֹרִיָּה הוּא יַעֲנֵֽנוּ:
מִי שֶׁעָנָה לְיִצְחָק בְּנוֹ
כְּשֶׁנֶּעֱקַד עַל גַּבֵּי הַמִּזְבֵּֽחַ
הוּא יַעֲנֵֽנוּ:
מִי שֶׁעָנָה לְיַעֲקֹב בְּבֵית אֵל
הוּא יַעֲנֵנוּ:
מִי שֶׁעָנָה לְיוֹסֵף
בְּבֵית הָאֲסוּרִים
הוּא יַעֲנֵֽנוּ:
מִי שֶׁעָנָה לַאֲבוֹתֵֽינוּ
עַל יַם סוּף
הוּא יַעֲנֵֽנוּ:
מִי שֶׁעָנָה לְמשֶׁה בְּחוֹרֵב
הוּא יַעֲנֵֽנוּ:
מִי שֶׁעָנָה לְאַהֲרֹן בַּמַּחְתָּה
הוּא יַעֲנֵֽנוּ:
מִי שֶׁעָנָה לְפִינְחָס
בְּקוּמוֹ מִתּוֹךְ הָעֵדָה
הוּא יַעֲנֵֽנוּ:
מִי שֶׁעָנָה לִיהוֹשֻֽׁעַ בַּגִּלְגָּל
הוּא יַעֲנֵֽנוּ:
מִי שֶׁעָנָה לִשְׁמוּאֵל בַּמִּצְפָּה
הוּא יַעֲנֵֽנוּ:
מִי שֶׁעָנָה לְדָוִד
וּשְׁלֹמֹה בְנוֹ בִּירוּשָׁלָֽיִם
הוּא יַעֲנֵֽנוּ:
מִי שֶׁעָנָה לְאֵלִיָּֽהוּ בְּהַר הַכַּרְמֶל
הוּא יַעֲנֵֽנוּ:
מִי שֶׁעָנָה לֶאֱלִישָׁע בִּירִיחוֹ
הוּא יַעֲנֵֽנוּ:
מִי שֶׁעָנָה לְיוֹנָה
בִמְעֵי הַדָּגָה
הוּא יַעֲנֵֽנוּ:
מִי שֶׁעָנָה לְחִזְּקִיָֽהוּ
מֶֽלֶךְ יְהוּדָה בְּחָלְיוֹ,
הוּא יַעֲנֵֽנוּ:
מִי שֶׁעָנָה
לַחֲנַנְיָה מִישָׁאֵל וַעֲזַרְיָה
בְּתוֹךְ כִּבְשַׁן הָאֵשׁ
הוּא יַעֲנֵֽנוּ:
מִי שֶׁעָנָה לְדָנִיֵּאל
בְּגוֹב הָאֲרָיוֹת
הוּא יַעֲנֵנוּ:
מִי שֶׁעָנָה לְמָרְדְּכַי וְאֶסְתֵּר
בְּשׁוּשַׁן הַבִּירָה
הוּא יַעֲנֵֽנוּ:
מִי שֶׁעָנָה לְעֶזְרָא בַגּוֹלָה
הוּא יַעֲנֵֽנוּ:
מִי שֶׁעָנָה
לְכָל הַצַדִּיקִים וְהַחֲסִידִים
וְהַתְּמִימִים וְהַיְשָׁרִים
הוּא יַעֲנֵֽנוּ:
רַחְמָנָא דְעָנֵי לַעֲנִיֵּי
עֲנֵינָן.
רַחֲמָנָא
דְעָנֵי לִתְבִירֵי לִבָּא
עֲנֵינָן.
רַחֲמָנָא
דְעָנֵי לְמַכִּיכֵי רוּחָא
עֲנֵינָן.
רַחֲמָנָא עֲנֵינָן.
רַחֲמָנָא חוּס.
רַחֲמָנָא פְּרוֹק. רַחֲמָנָא שְׁזִיב.
רַחֲמָנָא רְחַם עֲלָן.
הַשְׁתָּא בַּעֲגָלָא וּבִזְמַן קָרִיב:
וַיֹּֽאמֶר דָּוִד אֶל־גָּד
צַר־לִי מְאֹד
נִפְּלָה־נָּא בְיַד־יְהֹוָה
כִּי־רַבִּים רַחֲמָיו
וּבְיַד־אָדָם אַל־אֶפֹּֽלָה:
רַחוּם וְחַנּוּן
חָטָֽאתִי לְפָנֶֽיךָ
יְהֹוָה מָלֵא רַחֲמִים
רַחֵם עָלַי
וְקַבֵּל תַּחֲנוּנָי:
יְהֹוָה אַל־בְּאַפְּךָ תוֹכִיחֵֽנִי
וְאַל־בַּחֲמָתְךָ תְיַסְּרֵֽנִי:
חָנֵּֽנִי יְהֹוָה
כִּי אֻמְלַל אָֽנִי
רְפָאֵֽנִי יְהֹוָה כִּי נִבְהֲלוּ עֲצָמָי:
וְנַפְשִׁי נִבְהֲלָה מְאֹד
וְאַתָּה יְהֹוָה עַד־מָתָי:
שׁוּבָה יְהֹוָה חַלְּצָה נַפְשִׁי
הוֹשִׁיעֵֽנִי לְמַֽעַן חַסְדֶּֽךָ:
כִּי אֵין בַּמָּֽוֶת זִכְרֶךָ
בִּשְׁאוֹל מִי־יוֹדֶה לָּךְ:
יָגַֽעְתִּי־בְּאַנְחָתִי
אַשְׂחֶה בְכָל־לַֽיְלָה מִטָּתִי
בְּדִמְעָתִי עַרְשִׂי אַמְסֶה:
עָשְׁשָׁה מִכַּֽעַס עֵינִי
עָתְקָה בְּכָל־צוֹרְרָי:
סֽוּרוּ מִמֶּֽנִּי כָּל־פֹּֽעֲלֵי אָוֶן
כִּי־שָׁמַע יְהֹוָה קוֹל בִּכְיִי:
שָׁמַע יְהֹוָה תְּחִנָּתִי
יְהֹוָה תְּפִלָּתִי יִקָּח:
יֵבֽשׁוּ וְיִבָּהֲלוּ מְאֹד
כָּל־אֹיְבָי
יָשֻֽׁבוּ
יֵבֽשׁוּ רָֽגַע:</t>
        </is>
      </c>
      <c r="F461" s="10" t="inlineStr"/>
      <c r="G461" s="14" t="inlineStr">
        <is>
          <t>Selichot Nusach Lita Linear, First Day.9</t>
        </is>
      </c>
      <c r="H461" s="12" t="inlineStr">
        <is>
          <t>The Metsudah Selichos: Hebrew text, Metsudah Publications, 1986 — CC-BY</t>
        </is>
      </c>
      <c r="I461" s="12" t="inlineStr">
        <is>
          <t>sefaria-selichot-nusach-lita-linear-first-day-9</t>
        </is>
      </c>
    </row>
    <row r="462" ht="409" customHeight="1">
      <c r="A462" s="7">
        <f>IF(LEN(TRIM(F462))=0,"Approved","Comment to address")</f>
        <v/>
      </c>
      <c r="B462" s="8" t="inlineStr">
        <is>
          <t>Second Day</t>
        </is>
      </c>
      <c r="C462" s="8" t="inlineStr">
        <is>
          <t>repentance</t>
        </is>
      </c>
      <c r="D462" s="8" t="inlineStr">
        <is>
          <t>Ashkenaz Lita</t>
        </is>
      </c>
      <c r="E462"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2" s="10" t="inlineStr"/>
      <c r="G462" s="11" t="inlineStr">
        <is>
          <t>Selichot Nusach Lita Linear, Second Day.6</t>
        </is>
      </c>
      <c r="H462" s="8" t="inlineStr">
        <is>
          <t>The Metsudah Selichos: Hebrew text, Metsudah Publications, 1986 — CC-BY</t>
        </is>
      </c>
      <c r="I462" s="8" t="inlineStr">
        <is>
          <t>sefaria-selichot-nusach-lita-linear-second-day-6</t>
        </is>
      </c>
    </row>
    <row r="463" ht="409" customHeight="1">
      <c r="A463" s="7">
        <f>IF(LEN(TRIM(F463))=0,"Approved","Comment to address")</f>
        <v/>
      </c>
      <c r="B463" s="12" t="inlineStr">
        <is>
          <t>Third Day</t>
        </is>
      </c>
      <c r="C463" s="12" t="inlineStr">
        <is>
          <t>repentance</t>
        </is>
      </c>
      <c r="D463" s="12" t="inlineStr">
        <is>
          <t>Ashkenaz Lita</t>
        </is>
      </c>
      <c r="E463"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3" s="10" t="inlineStr"/>
      <c r="G463" s="14" t="inlineStr">
        <is>
          <t>Selichot Nusach Lita Linear, Third Day.6</t>
        </is>
      </c>
      <c r="H463" s="12" t="inlineStr">
        <is>
          <t>The Metsudah Selichos: Hebrew text, Metsudah Publications, 1986 — CC-BY</t>
        </is>
      </c>
      <c r="I463" s="12" t="inlineStr">
        <is>
          <t>sefaria-selichot-nusach-lita-linear-third-day-6</t>
        </is>
      </c>
    </row>
    <row r="464" ht="409" customHeight="1">
      <c r="A464" s="7">
        <f>IF(LEN(TRIM(F464))=0,"Approved","Comment to address")</f>
        <v/>
      </c>
      <c r="B464" s="8" t="inlineStr">
        <is>
          <t>Fourth Day</t>
        </is>
      </c>
      <c r="C464" s="8" t="inlineStr">
        <is>
          <t>repentance</t>
        </is>
      </c>
      <c r="D464" s="8" t="inlineStr">
        <is>
          <t>Ashkenaz Lita</t>
        </is>
      </c>
      <c r="E464"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4" s="10" t="inlineStr"/>
      <c r="G464" s="11" t="inlineStr">
        <is>
          <t>Selichot Nusach Lita Linear, Fourth Day.6</t>
        </is>
      </c>
      <c r="H464" s="8" t="inlineStr">
        <is>
          <t>The Metsudah Selichos: Hebrew text, Metsudah Publications, 1986 — CC-BY</t>
        </is>
      </c>
      <c r="I464" s="8" t="inlineStr">
        <is>
          <t>sefaria-selichot-nusach-lita-linear-fourth-day-6</t>
        </is>
      </c>
    </row>
    <row r="465" ht="409" customHeight="1">
      <c r="A465" s="7">
        <f>IF(LEN(TRIM(F465))=0,"Approved","Comment to address")</f>
        <v/>
      </c>
      <c r="B465" s="12" t="inlineStr">
        <is>
          <t>Fifth Day</t>
        </is>
      </c>
      <c r="C465" s="12" t="inlineStr">
        <is>
          <t>repentance</t>
        </is>
      </c>
      <c r="D465" s="12" t="inlineStr">
        <is>
          <t>Ashkenaz Lita</t>
        </is>
      </c>
      <c r="E465"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5" s="10" t="inlineStr"/>
      <c r="G465" s="14" t="inlineStr">
        <is>
          <t>Selichot Nusach Lita Linear, Fifth Day.6</t>
        </is>
      </c>
      <c r="H465" s="12" t="inlineStr">
        <is>
          <t>The Metsudah Selichos: Hebrew text, Metsudah Publications, 1986 — CC-BY</t>
        </is>
      </c>
      <c r="I465" s="12" t="inlineStr">
        <is>
          <t>sefaria-selichot-nusach-lita-linear-fifth-day-6</t>
        </is>
      </c>
    </row>
    <row r="466" ht="409" customHeight="1">
      <c r="A466" s="7">
        <f>IF(LEN(TRIM(F466))=0,"Approved","Comment to address")</f>
        <v/>
      </c>
      <c r="B466" s="8" t="inlineStr">
        <is>
          <t>Sixth Day</t>
        </is>
      </c>
      <c r="C466" s="8" t="inlineStr">
        <is>
          <t>repentance</t>
        </is>
      </c>
      <c r="D466" s="8" t="inlineStr">
        <is>
          <t>Ashkenaz Lita</t>
        </is>
      </c>
      <c r="E466" s="9"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6" s="10" t="inlineStr"/>
      <c r="G466" s="11" t="inlineStr">
        <is>
          <t>Selichot Nusach Lita Linear, Sixth Day.6</t>
        </is>
      </c>
      <c r="H466" s="8" t="inlineStr">
        <is>
          <t>The Metsudah Selichos: Hebrew text, Metsudah Publications, 1986 — CC-BY</t>
        </is>
      </c>
      <c r="I466" s="8" t="inlineStr">
        <is>
          <t>sefaria-selichot-nusach-lita-linear-sixth-day-6</t>
        </is>
      </c>
    </row>
    <row r="467" ht="409" customHeight="1">
      <c r="A467" s="7">
        <f>IF(LEN(TRIM(F467))=0,"Approved","Comment to address")</f>
        <v/>
      </c>
      <c r="B467" s="12" t="inlineStr">
        <is>
          <t>Seventh Day</t>
        </is>
      </c>
      <c r="C467" s="12" t="inlineStr">
        <is>
          <t>repentance</t>
        </is>
      </c>
      <c r="D467" s="12" t="inlineStr">
        <is>
          <t>Ashkenaz Lita</t>
        </is>
      </c>
      <c r="E467" s="13" t="inlineStr">
        <is>
          <t>אַל תִּזְכָּר לָנוּ עֲו‍ֹנוֹת רִאשׁוֹנִים.
מַהֵר יְקַדְּמוּנוּ רַחֲמֶיךָ
כִּי דַלּוֹנוּ מְאֹד:
חַטֹּאת נְעוּרֵינוּ וְפְשָׁעֵינוּ
אַל תִּזְכֹּר
כְּחַסְדְּךָ זְכָר לָנוּ אַתָּה
לְמַעַן טוּבְךָ יְהֹוָה
זְכֹר רַחֲמֶֽיךָ יְהֹוָה
וַחֲסָדֶֽיךָ
כִּי מֵעוֹלָם הֵֽמָּה:
זָכְרֵֽנוּ יְהֹוָה
בִּרְצוֹן עַמֶּֽךָ
פָּקְדֵֽנוּ בִּישׁוּעָתֶֽךָ:
זְכֹר עֲדָתְךָ
קָנִֽיתָ קֶּֽדֶם
גָּאַֽלְתָּ שֵֽׁבֶט
נַחֲלָתֶֽךָ
הַר צִיּוֹן זֶה שָׁכַנְתָּ בּוֹ:
זְּכוֹר יְהֹוָה חִבַּת יְרוּשָׁלָֽםִ
אַהֲבַת צִיּוֹן אַל תִּשְׁכַּח לָנֶֽצַח:
זְכֹר יְהֹוָה
לִבְנֵי אֱדוֹם אֵת יוֹם יְרוּשָׁלָֽםִ
הָאֹמְרִים
עָֽרוּ עָֽרוּ עַד הַיְסוֹד בָּהּ:
אַתָּה תָקוּם
תְּרַחֵם צִיּוֹן.
כִּי עֵת לְחֶנְנָהּ
כִּי בָא מוֹעֵד:
זְכֹר לְאַבְרָהָם לְיִצְחָק וּלְיִשְׂרָאֵל
עֲבָדֶֽיךָ
אֲשֶׁר נִשְׁבַּֽעְתָּ לָהֶם בָּךְ
וַתְּדַבֵּר אֲלֵהֶם
אַרְבֶּה אֶת זַרְעֲכֶם
כְּכוֹכְבֵי הַשָּׁמָֽיִם.
וְכָל הָאָֽרֶץ הַזֹּאת אֲשֶׁר אָמַֽרְתִּי
אֶתֵּן לְזַרְעֲכֶם
וְנָחֲלוּ לְעוֹלָם:
זְכֹר לַעֲבָדֶֽיךָ
לְאַבְרָהָם לְיִצְחָק וּלְיַעֲקֹב.
אַל תֵּֽפֶן אֶל קְשִׁי הָעָם הַזֶּה
וְאֶל רִשְׁעוֹ וְאֶל חַטָּאתוֹ:
אַל נָא
תָשֵׁת עָלֵֽינוּ חַטָּאת
אֲשֶׁר נוֹאַֽלְנוּ וַאֲשֶׁר חָטָֽאנוּ:
חָטָֽאנוּ צוּרֵֽנוּ
סְלַח לָֽנוּ יוֹצְרֵֽנוּ:
זְכוֹר לָֽנוּ בְּרִית אָבוֹת
כַּאֲשֶׁר אָמַֽרְתָּ.
וְזָכַרְתִּי אֶת בְּרִיתִי יַעֲקוֹב
וְאַף אֶת בְּרִיתִי יִצְחָק
וְאַף אֶת בְּרִיתִי אַבְרָהָם
אֶזְכֹּר
וְהָאָֽרֶץ אֶזְכֹּר:
זְכוֹר לָֽנוּ בְּרִית רִאשׁוֹנִים
כַּאֲשֶׁר אָמַֽרְתָּ.
וְזָכַרְתִּי לָהֶם
בְּרִית רִאשׁוֹנִים
אֲשֶׁר הוֹצֵֽאתִי אוֹתָם
מֵאֶֽרֶץ מִצְרַֽיִם
לְעֵינֵי הַגּוֹיִם
לִהְיוֹת לָהֶם לֵאלֹהִים
אֲנִי יְהֹוָה: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7" s="10" t="inlineStr"/>
      <c r="G467" s="14" t="inlineStr">
        <is>
          <t>Selichot Nusach Lita Linear, Seventh Day.6</t>
        </is>
      </c>
      <c r="H467" s="12" t="inlineStr">
        <is>
          <t>The Metsudah Selichos: Hebrew text, Metsudah Publications, 1986 — CC-BY</t>
        </is>
      </c>
      <c r="I467" s="12" t="inlineStr">
        <is>
          <t>sefaria-selichot-nusach-lita-linear-seventh-day-6</t>
        </is>
      </c>
    </row>
    <row r="468" ht="409" customHeight="1">
      <c r="A468" s="7">
        <f>IF(LEN(TRIM(F468))=0,"Approved","Comment to address")</f>
        <v/>
      </c>
      <c r="B468" s="8" t="inlineStr">
        <is>
          <t>Erev Rosh Hashana</t>
        </is>
      </c>
      <c r="C468" s="8" t="inlineStr">
        <is>
          <t>repentance</t>
        </is>
      </c>
      <c r="D468" s="8" t="inlineStr">
        <is>
          <t>Ashkenaz Lita</t>
        </is>
      </c>
      <c r="E468" s="9" t="inlineStr">
        <is>
          <t>שְׁמַע יִשְׂרָאֵל
יְהֹוָה אֱלֹהֵינוּ
יְהֹוָה אֶחָד:
מַלְכֵּנוּ בָּאנוּ
בְּכֹחַ יִחוּדֶךָ.
כִּי־אֵין לָנוּ
בַּמֶּה לְקַדְּמֶךָ.
כִּי אִם מַלְכוּתְךָ
וּמַעְבָּדֶיךָ.
לָכֵן בְּכָל לֵב
נְיַחֲדֶךָ:
נְיַחֲדֶךָ יַחַד
גְּדוֹלֵינוּ וּקְטַנֵּינוּ.
מְחָק נָא שְׁטָרֵי חוֹבוֹתֵינוּ.
וּכְתֹב בְּסֵפֶר הַחַיִּים
זִכְרוֹנֵנוּ.
וְתִגְזֹר עַתָּה
לְהֵיטִיב שְׁנוֹתֵינוּ:
שְׁמַע יִשְׂרָאֵל
יְהֹוָה אֱלֹהֵינוּ
יְהֹוָה אֶחָד:
סְגֻלָּה אֲשֶׁר־פָּדִיתָ
בְּמַסּוֹת בְּאוֹתוֹת וּבְנִסִּים.
בְּשִׁמְךָ חוֹסִים
וְעַל־שְׁמַע פּוֹרְסִים.
אֵלֶּה בָרֶכֶב
וְאֵלֶּה בַסּוּסִים.
וַאֲנַחְנוּ
בְּשֵׁם־יְהֹוָה אֱלֹהֵינוּ עוֹמְסִים:
עוֹמְסִים
בְּיִרְאָה וּבְפַחַד וּבְרַעַד.
לְעוֹדְדָם מֵאֻמּוֹת
וּלְהַסְעַד.
כְּמוֹ בְּדִבְרֵי קָדְשְׁךָ מוּעַד.
הֵמַּה כָּרְעוּ וְנָפָלוּ
וַאֲנַחְנוּ קַמְנוּ וַנִּתְעוֹדָד:
שְׁמַע יִשְׂרָאֵל
יְהֹוָה אֱלֹהֵינוּ
יְהֹוָה אֶחָד:
פַּסּוּ עֲבוֹדוֹת־פְּנִימָה
וּשְׂעִירֵי כַפָּרָה.
וְאָפֵס כֹּהֵן
לְשַׁכֵּךְ עֶבְרָה.
וְנִשְׁאַרְנוּ
כְּלֵב אִשָּׁה
מְצֵרָה.
שְׁעוּנִים בְּאֹמֶר
יַעַנְךָ יְהֹוָה
בְּיוֹם צָרָה:
צָרָה בִּהְיוֹת לְיַעֲקֹב.
זֶה־יֹאמַר
לַיהֹוָה־אָנִי בְּלִי לַעֲקֹב.
וְזֶה
יִקְרָא בְשֵׁם יַעֲקֹב.
וְכֻלָּם שְׁעוּנִים בְּהַבְטָחַת
שֵׁם אֱלֹהֵי יַעֲקֹב:
שְׁמַע יִשְׂרָאֵל
יְהֹוָה אֱלֹהֵינוּ
יְהֹוָה אֶחָד:
שִׁמְךָ בָּנוּ נִקְרָא
רַב־עֲלִילוֹת.
שְׁעֵה מֶנּוּ שַׁוְעָה
וְקַבֵּל תְּפִלּוֹת.
וְהָסֵר מֶנּוּ רֹעַ מַעֲלָלוֹת.
וְאַתָּה קָדוֹשׁ
יוֹשֵׁב תְּהִלּוֹת:
תְּהִלּוֹת דַּר,
הָקֵץ רְדוּמִים.
חֲשׁוּכִים בֵּין הָאֻמִּים.
פְּדֵם וְנַקֵּם מִכְּתָמִים.
אֵל מֶלֶךְ
יוֹשֵׁב עַל־כִּסֵּא רַחֲמִים:
עֲשֵׂה עִמָּֽנוּ כְּמָה שֶׁהִבְטַחְתָּֽנוּ.
וְאַף גַּם זֹאת
בִּהְיוֹתָם בְּאֶֽרֶץ אוֹיְבֵיהֶם
לֹא מְאַסְתִּים
וְלֹא גְעַלְתִּים לְכַלֹּתָם
לְהָפֵר בְּרִיתִי אִתָּם
כִּי אֲנִי יְהֹוָה אֱלֹהֵיהֶם:
הִמָּֽצֵא לָֽנוּ בְּבַקָּשָׁתֵֽנוּ
כְּמָה שֶׁכָּתוּב.
וּבִקַּשְׁתֶּם מִשָּׁם
אֶת יְהֹוָה אֱלֹהֶֽיךָ
וּמָצָֽאתָ
כִּי תִדְרְשֶֽׁנּוּ
בְּכָל לְבָבְךָ
וּבְכָל נַפְשֶֽׁךָ:
מוֹל אֶת לְבָבֵֽנוּ
לְאַהֲבָה אֶת שְׁמֶֽךָ
כְּמָה שֶׁכָּתוּב
וּמָל יְהֹוָה אֱלֹהֶֽיךָ אֶת לְבָבְךָ
וְאֶת לְבַב זַרְעֶֽךָ
לְאַהֲבָה אֶת יְהֹוָה אֱלֹהֶֽיךָ
בְּכָל לְבָבְךָ
וְכָל נַפְשְׁךָ
לְמַֽעַן חַיֶּֽיךָ:
זְרֹק עָלֵֽינוּ מַֽיִם טְהוֹרִים
וְטַהֲרֵֽנוּ כְּמָה שֶׁכָּתוּב.
וְזָרַקְתִּי עֲלֵיכֶם מַֽיִם טְהוֹרִים
וּטְהַרְתֶּם
מִכֹּל טֻמְאוֹתֵיכֶם
וּמִכָּל גִּלּוּלֵיכֶם
אֲטַהֵר אֶתְכֶם:
מְחֵה פְשָׁעֵֽינוּ
כָּעָב וְכֶעָנָן
כְּמָה שֶׁכָּתוּב.
מָחִֽיתִי כָעָב
פְּשָׁעֶֽיךָ
וְכֶעָנָן חַטֹּאתֶֽיךָ
שׁוּבָה אֵלַי כִּי גְאַלְתִּֽיךָ:
מְחֵה פְשָׁעֵֽינוּ לְמַעַנְךָ
כַּאֲשֶׁר אָמַֽרְתָּ.
אָנֹכִי אָנֹכִי
הוּא מוֹחֶה פְשָׁעֶֽיךָ
לְמַעֲנִי
וְחַטֹּאתֶֽיךָ לֹא אֶזְכֹּר:
הַלְבֵּן חֲטָאֵֽינוּ כַּשֶּֽׁלֶג וְכַצֶּֽמֶר
כְּמָה שֶׁכָּתוּב.
לְכוּ נָא וְנִוָּכְחָה
יֹאמַר יְהֹוָה
אִם יִהְיוּ חֲטָאֵיכֶם כַּשָּׁנִים
כַּשֶּֽׁלֶג יַלְבִּֽינוּ
אִם יַאְדִּֽימוּ כַתּוֹלָע
כַּצֶּֽמֶר יִהְיוּ:
רַחֵם עָלֵֽינוּ וְאַל תַּשְׁחִיתֵֽנוּ
כְּמָה שֶׁכָּתוּב
כִּי אֵל רַחוּם יְהֹוָה
אֱלֹהֶֽיךָ
לֹא יַרְפְּךָ וְלֹא יַשְׁחִיתֶֽךָ
וְלֹא יִשְׁכַּח
אֶת בְּרִית אֲבוֹתֶֽיךָ
אֲשֶׁר נִשְׁבַּע לָהֶם:
קַבֵּץ נִדָּחֵֽינוּ כְּמָה שֶׁכָּתוּב.
אִם יִהְיֶה נִדַּחֲךָ
בִּקְצֵה הַשָּׁמָֽיִם
מִשָּׁם יְקַבֶּצְךָ יְהֹוָה אֱלֹהֶֽיךָ
וּמִשָּׁם יִקָּחֶֽךָ:
הָשֵׁב שְׁבוּתֵֽנוּ
וְרַחֲמֵֽנוּ
כְּמָה שֶׁכָּתוּב.
וְשָׁב יְהֹוָה אֱלֹהֶֽיךָ
אֶת שְׁבוּתְךָ וְרִחֲמֶֽךָ
וְשָׁב וְקִבֶּצְךָ
מִכָּל הָעַמִּים
אֲשֶׁר הֱפִיצְךָ יְהֹוָה אֱלֹהֶֽיךָ שָֽׁמָּה:
תְּבִיאֵנוּ אֶל הַר קָדְשֶֽׁךָ
וְשַׂמְּחֵֽנוּ בְּבֵית תְּפִלָּתֶֽךָ
כְּמָה שֶׁכָּתוּב.
וַהֲבִיאוֹתִים אֶל הַר קָדְשִׁי
וְשִׂמַּחְתִּים בְּבֵית תְּפִלָּתִי
עוֹלוֹתֵיהֶם וְזִבְחֵיהֶם
לְרָצוֹן עַל מִזְבְּחִי
כִּי בֵיתִי
בֵּית תְּפִלָּה יִקָּרֵא
לְכָל הָעַמִּים:</t>
        </is>
      </c>
      <c r="F468" s="10" t="inlineStr"/>
      <c r="G468" s="11" t="inlineStr">
        <is>
          <t>Selichot Nusach Lita Linear, Erev Rosh Hashana.23</t>
        </is>
      </c>
      <c r="H468" s="8" t="inlineStr">
        <is>
          <t>The Metsudah Selichos: Hebrew text, Metsudah Publications, 1986 — CC-BY</t>
        </is>
      </c>
      <c r="I468" s="8" t="inlineStr">
        <is>
          <t>sefaria-selichot-nusach-lita-linear-erev-rosh-hashana-23</t>
        </is>
      </c>
    </row>
    <row r="469" ht="409" customHeight="1">
      <c r="A469" s="7">
        <f>IF(LEN(TRIM(F469))=0,"Approved","Comment to address")</f>
        <v/>
      </c>
      <c r="B469" s="12" t="inlineStr">
        <is>
          <t>Fast of Gedaliah</t>
        </is>
      </c>
      <c r="C469" s="12" t="inlineStr">
        <is>
          <t>repentance</t>
        </is>
      </c>
      <c r="D469" s="12" t="inlineStr">
        <is>
          <t>Ashkenaz Lita</t>
        </is>
      </c>
      <c r="E469" s="13"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69" s="10" t="inlineStr"/>
      <c r="G469" s="14" t="inlineStr">
        <is>
          <t>Selichot Nusach Lita Linear, Fast of Gedaliah.2</t>
        </is>
      </c>
      <c r="H469" s="12" t="inlineStr">
        <is>
          <t>The Metsudah Selichos: Hebrew text, Metsudah Publications, 1986 — CC-BY</t>
        </is>
      </c>
      <c r="I469" s="12" t="inlineStr">
        <is>
          <t>sefaria-selichot-nusach-lita-linear-fast-of-gedaliah-2</t>
        </is>
      </c>
    </row>
    <row r="470" ht="409" customHeight="1">
      <c r="A470" s="7">
        <f>IF(LEN(TRIM(F470))=0,"Approved","Comment to address")</f>
        <v/>
      </c>
      <c r="B470" s="8" t="inlineStr">
        <is>
          <t>Second Day of the Ten Days of Penitence</t>
        </is>
      </c>
      <c r="C470" s="8" t="inlineStr">
        <is>
          <t>repentance</t>
        </is>
      </c>
      <c r="D470" s="8" t="inlineStr">
        <is>
          <t>Ashkenaz Lita</t>
        </is>
      </c>
      <c r="E470" s="9"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70" s="10" t="inlineStr"/>
      <c r="G470" s="11" t="inlineStr">
        <is>
          <t>Selichot Nusach Lita Linear, Second Day of the Ten Days of Penitence.2</t>
        </is>
      </c>
      <c r="H470" s="8" t="inlineStr">
        <is>
          <t>The Metsudah Selichos: Hebrew text, Metsudah Publications, 1986 — CC-BY</t>
        </is>
      </c>
      <c r="I470" s="8" t="inlineStr">
        <is>
          <t>sefaria-selichot-nusach-lita-linear-second-day-of-the-ten-days-of-penitence-2</t>
        </is>
      </c>
    </row>
    <row r="471" ht="409" customHeight="1">
      <c r="A471" s="7">
        <f>IF(LEN(TRIM(F471))=0,"Approved","Comment to address")</f>
        <v/>
      </c>
      <c r="B471" s="12" t="inlineStr">
        <is>
          <t>Third Day of the Ten Days of Penitence</t>
        </is>
      </c>
      <c r="C471" s="12" t="inlineStr">
        <is>
          <t>repentance</t>
        </is>
      </c>
      <c r="D471" s="12" t="inlineStr">
        <is>
          <t>Ashkenaz Lita</t>
        </is>
      </c>
      <c r="E471" s="13"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71" s="10" t="inlineStr"/>
      <c r="G471" s="14" t="inlineStr">
        <is>
          <t>Selichot Nusach Lita Linear, Third Day of the Ten Days of Penitence.2</t>
        </is>
      </c>
      <c r="H471" s="12" t="inlineStr">
        <is>
          <t>The Metsudah Selichos: Hebrew text, Metsudah Publications, 1986 — CC-BY</t>
        </is>
      </c>
      <c r="I471" s="12" t="inlineStr">
        <is>
          <t>sefaria-selichot-nusach-lita-linear-third-day-of-the-ten-days-of-penitence-2</t>
        </is>
      </c>
    </row>
    <row r="472" ht="409" customHeight="1">
      <c r="A472" s="7">
        <f>IF(LEN(TRIM(F472))=0,"Approved","Comment to address")</f>
        <v/>
      </c>
      <c r="B472" s="8" t="inlineStr">
        <is>
          <t>Fourth Day of the Ten Days of Penitence</t>
        </is>
      </c>
      <c r="C472" s="8" t="inlineStr">
        <is>
          <t>repentance</t>
        </is>
      </c>
      <c r="D472" s="8" t="inlineStr">
        <is>
          <t>Ashkenaz Lita</t>
        </is>
      </c>
      <c r="E472" s="9"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72" s="10" t="inlineStr"/>
      <c r="G472" s="11" t="inlineStr">
        <is>
          <t>Selichot Nusach Lita Linear, Fourth Day of the Ten Days of Penitence.2</t>
        </is>
      </c>
      <c r="H472" s="8" t="inlineStr">
        <is>
          <t>The Metsudah Selichos: Hebrew text, Metsudah Publications, 1986 — CC-BY</t>
        </is>
      </c>
      <c r="I472" s="8" t="inlineStr">
        <is>
          <t>sefaria-selichot-nusach-lita-linear-fourth-day-of-the-ten-days-of-penitence-2</t>
        </is>
      </c>
    </row>
    <row r="473" ht="409" customHeight="1">
      <c r="A473" s="7">
        <f>IF(LEN(TRIM(F473))=0,"Approved","Comment to address")</f>
        <v/>
      </c>
      <c r="B473" s="12" t="inlineStr">
        <is>
          <t>Fifth Day of the Ten Days of Penitence</t>
        </is>
      </c>
      <c r="C473" s="12" t="inlineStr">
        <is>
          <t>repentance</t>
        </is>
      </c>
      <c r="D473" s="12" t="inlineStr">
        <is>
          <t>Ashkenaz Lita</t>
        </is>
      </c>
      <c r="E473" s="13" t="inlineStr">
        <is>
          <t>לְךָ אֲדֹנָי הַצְּדָקָה
וְלָנוּ בֹּשֶׁת הַפָּנִים.
מַה־נִּתְאוֹנֵן
וּמַה־נֹּאמַר.
מַה־נְּדַבֵּר
וּמַה נִּצְטַדָּק:
נַחְפְּשָׂה דְּרָכֵינוּ וְנַחְקֹרָה
וְנָשׁוּבָה אֵלֶיךָ.
כִּי יְמִינְךָ פְּשׁוּטָה
לְקַבֵּל שָׁבִים:
לֹא־בְחֶסֶד וְלֹא־בְמַעֲשִׂים
בָּאנוּ לְפָנֶיךָ.
כְּדַלִּים וּכְרָשִׁים
דָּפַקְנוּ דְּלָתֶיךָ:
דְּלָתֶיךָ דָּפַקְנוּ
רַחוּם וְחַנּוּן.
נָא אַל־תְּשִׁיבֵנוּ רֵיקָם
מִלְּפָנֶיךָ:
מִלְּפָנֶיךָ מַלְכֵּנוּ
רֵיקָם אַל־תְּשִׁיבֵנוּ.
כִּי אַתָּה שׁוֹמֵעַ תְּפִלָּה:
שֹׁמֵֽעַ תְּפִלָּה,
עָדֶֽיךָ כָּל בָּשָׂר יָבֹֽאוּ:
יָבוֹא כָל בָּשָׂר
לְהִשְׁתַּחֲוֹת לְפָנֶיךָ יְהֹוָה:
יָבֽוֹאוּ וְיִשְׁתַּחֲווּ
לְפָנֶֽיךָ אֲדֹנָי,
וִיכַבְּדוּ לִשְׁמֶךָ:
בֹּֽאוּ נִשְׁתַּחֲוֶה וְנִכְרָעָה.
נִבְרְכָה לִפְנֵי יְהֹוָה עֹשֵֽׂנוּ:
בֹּֽאוּ שְׁעָרָיו בְּתוֹדָה,
חֲצֵרוֹתָיו בִּתְהִלָּה.
הֽוֹדוּ לוֹ בָּרְכוּ שְׁמוֹ:
וַאֲנַחְנוּ בְּרֹב חַסְדְּךָ
נָבוֹא בֵיתֶֽךָ.
נִשְׁתַּחֲוֶה
אֶל הֵיכַל־קָדְשְׁךָ בְּיִרְאָתֶֽךָ:
הִנֵּה בָּרְכוּ אֶת יְהֹוָה
כָּל עַבְדֵי יְהֹוָה
הָעוֹמְדִים בְּבֵית יְהֹוָה
בַּלֵּילוֹת:
שְׂאוּ יְדֵיכֶם קֹֽדֶשׁ,
וּבָרְכוּ אֶת יְהֹוָה:
נָבוֹאָה לְמִשְׁכְּנוֹתָיו,
נִשְׁתַּחֲוֶה לַהֲדֹם רַגְלָיו:
רוֹמְמוּ יְהֹוָה אֱלֹהֵֽינוּ,
וְהִשְׁתַּחֲווּ לַהֲדֹם רַגְלָיו.
קָדוֹשׁ הוּא:
רוֹמְמוּ יְהֹוָה אֱלֹהֵֽינוּ,
וְהִשְׁתַּחֲווּ לְהַר קָדְשׁוֹ.
כִּי קָדוֹשׁ יְהֹוָה אֱלֹהֵֽינוּ:
הִשְׁתַּחֲווּ לַיהֹוָה
בְּהַדְרַת קֹֽדֶשׁ,
חִֽילוּ מִפָּנָיו כָּל הָאָֽרֶץ:
נִשְׁתַּחֲוֶה
אֶל הֵיכַל קָדְשְׁךָ,
וְנוֹדֶה אֶת שְׁמֶךָ
עַל חַסְדְךָ וְעַל אֲמִתֶּֽךָ.
כִּי הִגְדַּֽלְתָּ
עַל כָּל שִׁמְךָ אִמְרָתֶֽךָ:
יְהֹוָה אֱלֹהֵי צְבָאוֹת,
מִי כָמֽוֹךָ חֲסִין יָהּ.
וֶאֱמוּנָתְךָ סְבִיבוֹתֶֽיךָ:
כִּי מִי בַשַּֽׁחַק
יַעֲרֹךְ לַיהֹוָה,
יִדְמֶה לַיהֹוָה
בִּבְנֵי אֵלִים:
כִּי גָדוֹל אַתָּה
וְעֹשֶׂה נִפְלָאוֹת,
אַתָּה אֱלֹהִים לְבַדֶּֽךָ:
כִּי גָדוֹל מֵעַל שָׁמַֽיִם
חַסְדֶּֽךָ,
וְעַד שְׁחָקִים אֲמִתֶּֽךָ:
גָּדוֹל יְהֹוָה וּמְהֻלָּל מְאֹד,
וְלִגְדֻלָּתוֹ אֵין חֵֽקֶר:
כִּי גָדוֹל יְהֹוָה וּמְהֻלָּל מְאֹד,
נוֹרָא הוּא עַל כָּל אֱלֹהִים:
כִּי אֵל גָּדוֹל יְהֹוָה,
וּמֶֽלֶךְ גָּדוֹל עַל כָּל אֱלֹהִים:
אֲשֶׁר מִי אֵל בַּשָּׁמַֽיִם וּבָאָֽרֶץ,
אֲשֶׁר יַעֲשֶׂה כְמַעֲשֶֽׂיךָ
וְכִגְבוּרֹתֶֽיךָ:
מִי לֹא יִרָאֲךָ מֶֽלֶךְ הַגּוֹיִם,
כִּי לְךָ יָאָֽתָה.
כִּי בְכָל חַכְמֵי הַגּוֹיִם
וּבְכָל מַלְכוּתָם,
מֵאֵין כָּמֽוֹךָ:
מֵאֵין כָּמֽוֹךָ יְהֹוָה.
גָּדוֹל אַתָּה,
וְגָדוֹל שִׁמְךָ בִּגְבוּרָה:
לְךָ זְרֽוֹעַ עִם גְּבוּרָה.
תָּעֹז יָדְךָ, תָּרוּם יְמִינֶֽךָ:
לְךָ יוֹם אַף לְךָ לָֽיְלָה.
אַתָּה הֲכִינֽוֹתָ מָאוֹר וָשָֽׁמֶשׁ:
אֲשֶׁר בְּיָדוֹ מֶחְקְרֵי אָֽרֶץ,
וְתוֹעֲפוֹת הָרִים לוֹ:
מִי יְמַלֵּל גְּבוּרוֹת יְהֹוָה,
יַשְׁמִֽיעַ כָּל תְּהִלָּתוֹ:
לְךָ יְהֹוָה
הַגְּדֻלָּה וְהַגְּבוּרָה וְהַתִּפְאֶרֶת
וְהַנֵּֽצַח וְהַהוֹד,
כִּי כֹּל בַּשָּׁמַֽיִם וּבָאָֽרֶץ.
לְךָ יְהֹוָה הַמַּמְלְכָה,
וְהַמִּתְנַשֵּׂא לְכֹל לְרֹאשׁ:
לְךָ שָׁמַֽיִם,
אַף לְךָ אָֽרֶץ
תֵּבֵל וּמְלֹאָהּ
אַתָּה יְסַדְתָּם:
אַתָּה הִצַּֽבְתָּ כָּל גְּבוּלוֹת אָֽרֶץ.
קַֽיִץ וָחֹֽרֶף אַתָּה יְצַרְתָּם:
אַתָּה רִצַּֽצְתָּ רָאשֵׁי לִוְיָתָן,
תִּתְּנֶֽנוּ מַאֲכָל לְעַם לְצִיִּים:
אַתָּה בָקַעְתָּ מַעְיָן וָנָֽחַל,
אַתָּה הוֹבַֽשְׁתָּ נַהֲרוֹת אֵיתָן:
אַתָּה פוֹרַרְתָּ בְעָזְּךָ יָם,
שִׁבַּֽרְתָּ רָאשֵׁי תַנִּינִים
עַל הַמָּֽיִם:
אַתָּה מוֹשֵׁל בְּגֵאוּת הַיָּם,
בְּשׂוֹא גַלָּיו אַתָּה תְשַׁבְּחֵם:
גָּדוֹל יְהֹוָה וּמְהֻלָל מְאֹד,
בְּעִיר אֱלֹהֵֽינוּ
הַר קָדְשׁוֹ:
יְהֹוָה צְבָאוֹת אֱלֹהֵי יִשְׂרָאֵל
ישֵׁב הַכְּרֻבִים,
אַתָּה הוּא הָאֱלֹהִים לְבַדֶֽךָ:
אֵל נַעֲרָץ
בְּסוֹד קְדוֹשִׁים רַבָּה,
וְנוֹרָא
עַל כָּל סְבִיבָיו:
וְיוֹדוּ שָׁמַֽיִם פִּלְאֲךָ
יְהֹוָה,
אַף אֱמוּנָתְךָ
בִּקְהַל קְדשִׁים:
לְכוּ נְרַנְּנָה לַיהֹוָה,
נָרִֽיעָה
לְצוּר יִשְׁעֵֽנוּ:
נְקַדְּמָה פָנָיו בְּתוֹדָה,
בִּזְמִרוֹת נָרִֽיעַ לוֹ:
צֶֽדֶק וּמִשְׁפָּט
מְכוֹן כִּסְאֶֽךָ,
חֶסֶד וֶאֱמֶת יְקַדְּמוּ פָנֶֽיךָ:
אֲשֶׁר יַחְדָו נַמְתִּיק סוֹד,
בְּבֵית אֱלֹהִים
נְהַלֵּךְ בְּרָֽגֶשׁ:
אֲשֶׁר לוֹ הַיָּם וְהוּא עָשָֽׂהוּ,
וְיַבֶּֽשֶׁת יָדָיו יָצָֽרוּ:
אֲשֶׁר בְּיָדוֹ
נֶֽפֶשׁ כָּל חָי,
וְרֽוּחַ כָּל בְּשַׂר אִישׁ:
הַנְּשָׁמָה לָךְ,
וְהַגּוּף פָּעֳלָךָ
חוּסָה עַל עֲמָלָךְ:
הַנְּשָׁמָה לָךְ, וְהַגּוּף שֶׁלָּךְ.
יְהֹוָה עֲשֵׂה
לְמַֽעַן שְׁמֶֽךָ:
אָֽתָאנוּ עַל שִׁמְךָ.
יְהֹוָה, עֲשֵׂה
לְמַֽעַן שְׁמֶֽךָ:
בַּעֲבוּר כְבוֹד שִׁמְךָ,
כִּי אֵל חַנּוּן וְרַחוּם
שְׁמֶֽךָ:
לְמַֽעַן שִׁמְךָ יְהֹוָה.
וְסָלַחְתָּ לַעֲו‍ֹנֵֽנוּ, כִּי רַב הוּא:
סְלַח לָנוּ אָבִינוּ,
כִּי בְּרוֹב אִוַּלְתֵּנוּ
שָׁגִינוּ.
מְחַל־לָנוּ מַלְכֵּנוּ,
כִּי רַבּוּ עֲוֹנֵינוּ:</t>
        </is>
      </c>
      <c r="F473" s="10" t="inlineStr"/>
      <c r="G473" s="14" t="inlineStr">
        <is>
          <t>Selichot Nusach Lita Linear, Fifth Day of the Ten Days of Penitence.2</t>
        </is>
      </c>
      <c r="H473" s="12" t="inlineStr">
        <is>
          <t>The Metsudah Selichos: Hebrew text, Metsudah Publications, 1986 — CC-BY</t>
        </is>
      </c>
      <c r="I473" s="12" t="inlineStr">
        <is>
          <t>sefaria-selichot-nusach-lita-linear-fifth-day-of-the-ten-days-of-penitence-2</t>
        </is>
      </c>
    </row>
    <row r="474" ht="386" customHeight="1">
      <c r="A474" s="7">
        <f>IF(LEN(TRIM(F474))=0,"Approved","Comment to address")</f>
        <v/>
      </c>
      <c r="B474" s="8" t="inlineStr">
        <is>
          <t>Keter Malkhut</t>
        </is>
      </c>
      <c r="C474" s="8" t="inlineStr">
        <is>
          <t>source</t>
        </is>
      </c>
      <c r="D474" s="8" t="inlineStr">
        <is>
          <t>Requires Edition Specific Identification</t>
        </is>
      </c>
      <c r="E474" s="9" t="inlineStr">
        <is>
          <t>בִּתְפִלָּתִי יִסְכָּן־גָּבֶר. כִּי בָהּ יִלְמַד יֹשֶׁר וּזְכוּת:
סִפַּרְתִּי בָהּ פִּלְאֵי אֵל חַי בִּקְצָרָה אַךְ לֹא בַאֲרִיכוּת:
שַׂמְתִּיהָ עַל רֹאשׁ מַהֲלָלַי. וּקְרָאתִיהָ כֶּתֶר מַלְכוּת:
נִפְלָאִים מַעֲשֶׂיךָ וְנַפְשִׁי יוֹדַעַת מְאֹד.
לְךָ יְיָ הַגְּדֻלָּה וְהַגְּבוּרָה וְהַתִּפְאֶרֶת וְהַנֵּצַח וְהַהוֹד.
לְךָ יְיָ הַמַּמְלָכָה וְהַמִּתְנַשֵּׂא לְכֹל לְרֹאשׁ וְהָעֹשֶׁר וְהַכָּבוֹד:
לְךָ בְּרוּאֵי מַעְלָה וּמַטָּה יָעִידוּ כִּי הֵמָּה יֹאבֵדוּ וְאַתָּה תַעֲמֹד:
לְךָ הַגְּבוּרָה אֲשֶׁר בְּסוֹדָהּ נִלְאוּ רַעְיוֹנֵינוּ לַעֲמֹד. כִּי עָצַמְתָּ מִמֶּנּוּ מְאֹד:
לְךָ חֶבְיוֹן הָעֹז הַסּוֹד וְהַיְסוֹד:
לְךָ הַשֵּׁם הַנֶּעְלָם מִמְּתֵי חָכְמָה. וְהַכֹּחַ הַסּוֹבֵל הָעוֹלָם עַל בְּלִימָה. וְהַיְכֹלֶת לְהוֹצִיא לָאוֹר כָּל תַּעֲלוּמָה:
לְךָ הַחֶסֶד אֲשֶׁר גָּבַר עַל בְּרוּאֶיךָ. וְהַטּוֹב הַצָּפוּן לִירֵאֶיךָ:
לְךָ הַסּוֹדוֹת אֲשֶׁר לֹא יְכִילֵם שֵׂכֶל וְרַעְיוֹן. וְהַחַיִּים אֲשֶׁר לֹא יִשְׁלַט עֲלֵיהֶם כִּלָּיוֹן. וְהַכִּסֵּא הַנַּעֲלֶה עַל כָּל עֶלְיוֹן. וְהַנָּוֶה הַנִּסְתָּר בְּרוּם חֶבְיוֹן:
לְךָ הַמְּצִיאוּת אֲשֶׁר מִצֵּל מְאוֹרוֹ נִהְיָה כָּל הֹוֶה. אֲשֶׁר אָמַרְנוּ בְּצִלּוֹ נִחְיֶה:
לְךָ שְׁנֵי הָעוֹלָמִים אֲשֶׁר נָתַתָּ בֵּינֵיהֶם גְּבוּל. הָרִאשׁוֹן לְמַעֲשִׂים וְהַשֵּׁנִי לִגְמוּל:
לְךָ הַגְּמוּל אֲשֶׁר גָּנַזְתָּ לַצַּדִּיקִים וַתַּעֲלִימֵהוּ. וַתֵּרֶא אוֹתוֹ כִּי טוֹב הוּא וַתִּצְפְּנֵהוּ:</t>
        </is>
      </c>
      <c r="F474" s="10" t="inlineStr"/>
      <c r="G474" s="11" t="inlineStr">
        <is>
          <t>Keter Malkhut.1</t>
        </is>
      </c>
      <c r="H474" s="8" t="inlineStr">
        <is>
          <t>Mahberet miShire Kodesh, I. Davidson. JPS, Philadelphia, 1923 — Public Domain</t>
        </is>
      </c>
      <c r="I474" s="8" t="inlineStr">
        <is>
          <t>sefaria-keter-malkhut-1</t>
        </is>
      </c>
    </row>
    <row r="475" ht="199" customHeight="1">
      <c r="A475" s="7">
        <f>IF(LEN(TRIM(F475))=0,"Approved","Comment to address")</f>
        <v/>
      </c>
      <c r="B475" s="12" t="inlineStr">
        <is>
          <t>Keter Malkhut</t>
        </is>
      </c>
      <c r="C475" s="12" t="inlineStr">
        <is>
          <t>source</t>
        </is>
      </c>
      <c r="D475" s="12" t="inlineStr">
        <is>
          <t>Requires Edition Specific Identification</t>
        </is>
      </c>
      <c r="E475" s="13" t="inlineStr">
        <is>
          <t>אַתָּה אֶחָד. רֹאשׁ כָּל מִנְיָן. וִיסוֹד כָּל בִּנְיָן:
אַתָּה אֶחָד. וּבְסוֹד אַחְדוּתְךָ חַכְמֵי לֵב יִתְמָהוּ. כִּי לֹא יָדְעוּ מַה הוּא:
אַתָּה אֶחָד. וְאַחְדוּתְךָ לֹא יִגְרַע וְלֹא יוֹסִיף. לֹא יֶחְסַר וְלֹא יַעְדִּיף:
אַתָּה אֶחָד. וְלֹא כְּאֶחָד הַקָּנוּי וְהַמָּנוּי. כִּי לֹא יַשִּׂיגְךָ רִבּוּי וְשִׁנּוּי. לֹא תֹאַר וְלֹא כִנּוּי:
אַתָּה אֶחָד. וְלָשׂוּם לְךָ חֹק וּגְבוּל נִלְאָה הֶגְיוֹנִי. עַל כֵּן אָמַרְתִּי אֶשְׁמְרָה דְרָכַי מֵחֲטוֹא בִלְשׁוֹנִי:
אַתָּה אֶחָד. גָבַהְתָּ וְנַעֲלֵיתָ מִשְּׁפוֹל וּמִנְּפוֹל. וְאִילוֹ הָאֶחָד שֶׁיִּפּוֹל:</t>
        </is>
      </c>
      <c r="F475" s="10" t="inlineStr"/>
      <c r="G475" s="14" t="inlineStr">
        <is>
          <t>Keter Malkhut.2</t>
        </is>
      </c>
      <c r="H475" s="12" t="inlineStr">
        <is>
          <t>Mahberet miShire Kodesh, I. Davidson. JPS, Philadelphia, 1923 — Public Domain</t>
        </is>
      </c>
      <c r="I475" s="12" t="inlineStr">
        <is>
          <t>sefaria-keter-malkhut-2</t>
        </is>
      </c>
    </row>
    <row r="476" ht="114" customHeight="1">
      <c r="A476" s="7">
        <f>IF(LEN(TRIM(F476))=0,"Approved","Comment to address")</f>
        <v/>
      </c>
      <c r="B476" s="8" t="inlineStr">
        <is>
          <t>Keter Malkhut</t>
        </is>
      </c>
      <c r="C476" s="8" t="inlineStr">
        <is>
          <t>source</t>
        </is>
      </c>
      <c r="D476" s="8" t="inlineStr">
        <is>
          <t>Requires Edition Specific Identification</t>
        </is>
      </c>
      <c r="E476" s="9" t="inlineStr">
        <is>
          <t>אַתָּה נִמְצָא. וְלֹא יַשִּׂיגְךָ שֵׁמַע אֹזֶן וְלֹא רְאוּת עָיִן. וְלֹא יִשְׁלַט בְּךָ אֵיךְ וְלָמָּה וְאָיִן:
אַתָּה נִמְצָא. אֲבָל לְעַצְמְךָ וְאֵין לְאַחֵר עִמָּךְ:
אַתָּה נִמְצָא. וּבְטֶרֶם הֱיוֹת כָּל זְמַן הָיִיתָ. וּבְלִי מָקוֹם חָנִיתָ:
אַתָּה נִמְצָא. וְסוֹדְךָ נֶעְלָם וּמִי יַשִּׂיגֶנּוּ. עָמוֹק עָמוֹק מִי יִמְצָאֶנּוּ:</t>
        </is>
      </c>
      <c r="F476" s="10" t="inlineStr"/>
      <c r="G476" s="11" t="inlineStr">
        <is>
          <t>Keter Malkhut.3</t>
        </is>
      </c>
      <c r="H476" s="8" t="inlineStr">
        <is>
          <t>Mahberet miShire Kodesh, I. Davidson. JPS, Philadelphia, 1923 — Public Domain</t>
        </is>
      </c>
      <c r="I476" s="8" t="inlineStr">
        <is>
          <t>sefaria-keter-malkhut-3</t>
        </is>
      </c>
    </row>
    <row r="477" ht="97" customHeight="1">
      <c r="A477" s="7">
        <f>IF(LEN(TRIM(F477))=0,"Approved","Comment to address")</f>
        <v/>
      </c>
      <c r="B477" s="12" t="inlineStr">
        <is>
          <t>Keter Malkhut</t>
        </is>
      </c>
      <c r="C477" s="12" t="inlineStr">
        <is>
          <t>source</t>
        </is>
      </c>
      <c r="D477" s="12" t="inlineStr">
        <is>
          <t>Requires Edition Specific Identification</t>
        </is>
      </c>
      <c r="E477" s="13" t="inlineStr">
        <is>
          <t>אַתָּה חַי. וְלֹא מִזְּמָן קָבוּע. וְלֹא מֵעֵת יָדוּעַ:
אַתָּה חַי. וְלֹא בְנֶפֶשׁ וּנְשָׁמָה כִּי אַתָּה נְשָׁמָה לִנְשָׁמָה:
אַתָּה חַי. וְלֹא כְּחַיֵּי אָדָם לַהֶבֶל דָּמָה. וְסוֹפוֹ עָשׁ וְרִמָּה:
אַתָּה חַי. וְהַמַּגִּיעַ לְסוֹדְךָ יִמְצָא תַּעֲנוּג עוֹלָם. וְאָכַל וָחַי לְעוֹלָם:</t>
        </is>
      </c>
      <c r="F477" s="10" t="inlineStr"/>
      <c r="G477" s="14" t="inlineStr">
        <is>
          <t>Keter Malkhut.4</t>
        </is>
      </c>
      <c r="H477" s="12" t="inlineStr">
        <is>
          <t>Mahberet miShire Kodesh, I. Davidson. JPS, Philadelphia, 1923 — Public Domain</t>
        </is>
      </c>
      <c r="I477" s="12" t="inlineStr">
        <is>
          <t>sefaria-keter-malkhut-4</t>
        </is>
      </c>
    </row>
    <row r="478" ht="80" customHeight="1">
      <c r="A478" s="7">
        <f>IF(LEN(TRIM(F478))=0,"Approved","Comment to address")</f>
        <v/>
      </c>
      <c r="B478" s="8" t="inlineStr">
        <is>
          <t>Keter Malkhut</t>
        </is>
      </c>
      <c r="C478" s="8" t="inlineStr">
        <is>
          <t>source</t>
        </is>
      </c>
      <c r="D478" s="8" t="inlineStr">
        <is>
          <t>Requires Edition Specific Identification</t>
        </is>
      </c>
      <c r="E478" s="9" t="inlineStr">
        <is>
          <t>אַתָּה גָדוֹל. וּמוּל גְּדֻלָּתְךָ כָּל גְּדֻלָּה נִכְנַעַת. וְכָל יִתְרוֹן מִגְרָעַת:
אַתָּה גָדוֹל מִכָּל מַחֲשָׁבָה. וְגֵאֶה מִכָּל מֶרְכָּבָה:
אַתָּה גָדוֹל עַל כָּל גְּדֻלָּה. וּמְרוֹמָם עַל כָּל תְּהִלָּה:</t>
        </is>
      </c>
      <c r="F478" s="10" t="inlineStr"/>
      <c r="G478" s="11" t="inlineStr">
        <is>
          <t>Keter Malkhut.5</t>
        </is>
      </c>
      <c r="H478" s="8" t="inlineStr">
        <is>
          <t>Mahberet miShire Kodesh, I. Davidson. JPS, Philadelphia, 1923 — Public Domain</t>
        </is>
      </c>
      <c r="I478" s="8" t="inlineStr">
        <is>
          <t>sefaria-keter-malkhut-5</t>
        </is>
      </c>
    </row>
    <row r="479" ht="148" customHeight="1">
      <c r="A479" s="7">
        <f>IF(LEN(TRIM(F479))=0,"Approved","Comment to address")</f>
        <v/>
      </c>
      <c r="B479" s="12" t="inlineStr">
        <is>
          <t>Keter Malkhut</t>
        </is>
      </c>
      <c r="C479" s="12" t="inlineStr">
        <is>
          <t>source</t>
        </is>
      </c>
      <c r="D479" s="12" t="inlineStr">
        <is>
          <t>Requires Edition Specific Identification</t>
        </is>
      </c>
      <c r="E479" s="13" t="inlineStr">
        <is>
          <t>אַתָּה גִבּוֹר. וְאֵין בְּכָל יְצִירוֹתֶיךָ וּבְרִיּוֹתֶיךָ אֲשֶׁר יַעֲשֶׂה כְמַעֲשֶׂיךָ וּכִגְבוּרוֹתֶיךָ:
אַתָּה גִּבּוֹר וּלְךָ הַגְּבוּרָה הַגְּמוּרָה. אֲשֶׁר אֵין לָהּ שִׁנּוּי וּתְמוּרָה:
אַתָּה גִבּוֹר. וּמֵרֹב גַּאֲוָתְךָ תִּמְחֹל בְּעֵת זַעְפֶּךָ. וְתַאֲרִיךְ לְחַטָּאִים אַפֶּךָ:
אַתָּה גִּבּוֹר. וְרַחֲמֶיךָ עַל כָּל בְּרוּאֶיךָ כֻלָּם. הֵמָּה הַגִּבּוֹרִים אֲשֶׁר מֵעוֹלָם:</t>
        </is>
      </c>
      <c r="F479" s="10" t="inlineStr"/>
      <c r="G479" s="14" t="inlineStr">
        <is>
          <t>Keter Malkhut.6</t>
        </is>
      </c>
      <c r="H479" s="12" t="inlineStr">
        <is>
          <t>Mahberet miShire Kodesh, I. Davidson. JPS, Philadelphia, 1923 — Public Domain</t>
        </is>
      </c>
      <c r="I479" s="12" t="inlineStr">
        <is>
          <t>sefaria-keter-malkhut-6</t>
        </is>
      </c>
    </row>
    <row r="480" ht="114" customHeight="1">
      <c r="A480" s="7">
        <f>IF(LEN(TRIM(F480))=0,"Approved","Comment to address")</f>
        <v/>
      </c>
      <c r="B480" s="8" t="inlineStr">
        <is>
          <t>Keter Malkhut</t>
        </is>
      </c>
      <c r="C480" s="8" t="inlineStr">
        <is>
          <t>source</t>
        </is>
      </c>
      <c r="D480" s="8" t="inlineStr">
        <is>
          <t>Requires Edition Specific Identification</t>
        </is>
      </c>
      <c r="E480" s="9" t="inlineStr">
        <is>
          <t>אַתָּה אוֹר עֶלְיוֹן וְעֵינֵי כָל נֶפֶשׁ זַכָּה יִרְאוּךָ. וְעֵינֵי עֲוֹנִים מֵעֵינֶיהָ יַעְלִימוּךָ:
אַתָּה אוֹר נֶעְלָם בָּעוֹלָם הַזֶּה וְנִגְלֶה בָּעוֹלָם הַנִּרְאֶה. בְּהַר יְיָ יֵרָאֶה:
אַתָּה אוֹר עוֹלָם. וְעֵין הַשֵּׂכֶל לְךָ תִּכְסוֹף וְתִשְׁתָּאֶה. אֶפֶס קָצֵהוּ תִרְאֶה וְכֻלּוֹ לֹא תִרְאֶה:</t>
        </is>
      </c>
      <c r="F480" s="10" t="inlineStr"/>
      <c r="G480" s="11" t="inlineStr">
        <is>
          <t>Keter Malkhut.7</t>
        </is>
      </c>
      <c r="H480" s="8" t="inlineStr">
        <is>
          <t>Mahberet miShire Kodesh, I. Davidson. JPS, Philadelphia, 1923 — Public Domain</t>
        </is>
      </c>
      <c r="I480" s="8" t="inlineStr">
        <is>
          <t>sefaria-keter-malkhut-7</t>
        </is>
      </c>
    </row>
    <row r="481" ht="318" customHeight="1">
      <c r="A481" s="7">
        <f>IF(LEN(TRIM(F481))=0,"Approved","Comment to address")</f>
        <v/>
      </c>
      <c r="B481" s="12" t="inlineStr">
        <is>
          <t>Keter Malkhut</t>
        </is>
      </c>
      <c r="C481" s="12" t="inlineStr">
        <is>
          <t>source</t>
        </is>
      </c>
      <c r="D481" s="12" t="inlineStr">
        <is>
          <t>Requires Edition Specific Identification</t>
        </is>
      </c>
      <c r="E481" s="13" t="inlineStr">
        <is>
          <t>אַתָּה אֱלֹהֵי הָאֱלֹהִים וַאֲדוֹנֵי הָאֲדוֹנִים. שַׁלִּיט בָּעֶלְיוֹנִים וּבַתַּחְתּוֹנִים:
אַתָּה אֱלוֹהַּ. וְכָל הַבְּרוּאִים עֵדֶיךָ. וּבִכְבוֹד זֶה הַשֵּׁם נִתְחַיֵּב כָּל נִבְרָא לְעָבְדֶּךָ:
אַתָּה אֱלוֹהַּ. וְכָל הַיְצוּרִים עֲבָדֶיךָ וְעוֹבְדֶיךָ. וְלֹא יֶחְסַר כְּבוֹדֶךָ. בִּגְלַל עוֹבְדֵי בִלְעָדֶיךָ. כִּי כַוָּנַת כֻּלָּם לְהַגִּיעַ עָדֶיךָ:
אֲבָל הֵם כְּעִוְרִים. מְגַמַּת פְּנֵיהֶם דֶּרֶךְ הַמֶּלֶךְ. וְתָעוּ מִן הַדָּרֶךְ:
זֶה טָבַע בִּבְאֵר שָׁחַת. וְזֶה נָפַל אֶל פָּחַת:
וְכֻלָּם חָשְׁבוּ כִּי לְחֶפְצָם נָגָעוּ. וְהֵם לָרִיק יָגָעוּ:
אַךְ עֲבָדֶיךָ הֵם כְּפִקְחִים. הַהוֹלְכִים דֶּרֶךְ נְכוֹחִים:
לֹא סָרוּ יָמִין וּשְׂמֹאל מִן הַדֶּרֶךְ. עַד בּוֹאָם לַחֲצַר בֵּית הַמֶּלֶךְ:
אַתָּה אֱלוֹהַּ סוֹמֵךְ הַיְצוּרִים בֵּאלָהוּתֶךָ. וְסוֹעֵד הַבְּרוּאִים בְּאַחְדוּתֶךָ:
אַתָּה אֱלוֹהַּ. וְאֵין הַפְרֵשׁ בֵּין אֱלָהוּתְךָ וְאַחְדוּתֶךָ. וְקַדְמוּתְךָ וּמְצִיאוּתֶךָ:
כִּי הַכֹּל סוֹד אֶחָד. וְאִם יִשְׁתַּנֶּה שֵׁם כָּל אֶחָד. הַכֹּל הוֹלֵךְ אֶל מָקוֹם אֶחָד:</t>
        </is>
      </c>
      <c r="F481" s="10" t="inlineStr"/>
      <c r="G481" s="14" t="inlineStr">
        <is>
          <t>Keter Malkhut.8</t>
        </is>
      </c>
      <c r="H481" s="12" t="inlineStr">
        <is>
          <t>Mahberet miShire Kodesh, I. Davidson. JPS, Philadelphia, 1923 — Public Domain</t>
        </is>
      </c>
      <c r="I481" s="12" t="inlineStr">
        <is>
          <t>sefaria-keter-malkhut-8</t>
        </is>
      </c>
    </row>
    <row r="482" ht="233" customHeight="1">
      <c r="A482" s="7">
        <f>IF(LEN(TRIM(F482))=0,"Approved","Comment to address")</f>
        <v/>
      </c>
      <c r="B482" s="8" t="inlineStr">
        <is>
          <t>Keter Malkhut</t>
        </is>
      </c>
      <c r="C482" s="8" t="inlineStr">
        <is>
          <t>source</t>
        </is>
      </c>
      <c r="D482" s="8" t="inlineStr">
        <is>
          <t>Requires Edition Specific Identification</t>
        </is>
      </c>
      <c r="E482" s="9" t="inlineStr">
        <is>
          <t>אַתָּה חָכָם. וְהַחָכְמָה מְקוֹר חַיִּים מִמְּךָ נוֹבָעַת. וְחָכְמָתְךָ נִבְעַר כָּל אָדָם מִדָּעַת:
אַתָּה חָכָם. קַדְמוֹן לְכָל קַדְמוֹן. וְהַחָכְמָה הָיְתָה אֶצְלְךָ אָמוֹן:
אַתָּה חָכָם. וְלֹא לָמַדְתָּ מִבַּלְעָדֶיךָ. וְלֹא קָנִיתָ חָכְמָה מִזּוּלָתֶךָ:
אַתָּה חָכָם. וּמֵחָכְמָתְךָ אָצַלְתָּ חֵפֶץ מְזֻמָּן. כְּפוֹעֵל וְאֻמָּן:
לִמְשֹׁךְ מֶשֶׁךְ הַיֵּשׁ מִן הָאַיִן. כְּהִמָּשֵׁךְ הָאוֹר הַיּוֹצֵא מִן הָעַיִן:
וְשׁוֹאֵב מִמְּקוֹר הָאוֹר מִבְּלִי דְלִי. וּפוֹעֵל הַכֹּל בְּלִי כֶלִי:
וְחָצַב וְחָקַק. וְטִהֵר וְזִקַּק:
וְקָרָא אֶל הָאַיִן וְנִבְקַע. וְאֶל הַיֵּשׁ וְנִתְקַע. וְאֶל הָעוֹלָם וְנִרְקַע:
וְתִכֵּן שְׁחָקִים בַּזֶּרֶת. וְיָדוֹ אֹהֶל הַגַּלְגַּלִּים מְחַבֶּרֶת:
וּבְלֻלְּאוֹת הַיְכֹלֶת יְרִיעוֹת הַבְּרִיאוֹת קוֹשָׁרֶת. וְכֹחָהּ נוֹגַעַת עַל שְׂפַת הַיְרִיעָה הַבְּרִיאָה הַחִיצוֹנָה הַקִּיצוֹנָה בְּמַחְבָּרֶת:</t>
        </is>
      </c>
      <c r="F482" s="10" t="inlineStr"/>
      <c r="G482" s="11" t="inlineStr">
        <is>
          <t>Keter Malkhut.9</t>
        </is>
      </c>
      <c r="H482" s="8" t="inlineStr">
        <is>
          <t>Mahberet miShire Kodesh, I. Davidson. JPS, Philadelphia, 1923 — Public Domain</t>
        </is>
      </c>
      <c r="I482" s="8" t="inlineStr">
        <is>
          <t>sefaria-keter-malkhut-9</t>
        </is>
      </c>
    </row>
    <row r="483" ht="148" customHeight="1">
      <c r="A483" s="7">
        <f>IF(LEN(TRIM(F483))=0,"Approved","Comment to address")</f>
        <v/>
      </c>
      <c r="B483" s="12" t="inlineStr">
        <is>
          <t>Keter Malkhut</t>
        </is>
      </c>
      <c r="C483" s="12" t="inlineStr">
        <is>
          <t>source</t>
        </is>
      </c>
      <c r="D483" s="12" t="inlineStr">
        <is>
          <t>Requires Edition Specific Identification</t>
        </is>
      </c>
      <c r="E483" s="13" t="inlineStr">
        <is>
          <t>מִי יְמַלֵּל גְּבוּרוֹתֶיךָ. בַּעֲשׂוֹתְךָ כַּדּוּר הָאָרֶץ נֶחְלָק לִשְׁנַיִם. חֶצְיוֹ יַבָּשָׁה וְחֶצְיוֹ מָיִם:
וְהִקַּפְתָּ עַל הַמַּיִם גַּלְגַּל הָרוּחַ. סוֹבֵב סוֹבֵב הוֹלֵךְ הָרוּחַ. וְעַל סְבִיבוֹתָיו יָנוּחַ.
וְהִקַּפְתָּ עַל הָרוּחַ גַּלְגַּל הָאֵשׁ:
וְהַיְסוֹדוֹת הָאֵלֶּה אַרְבָּעְתָּם. לָהֶם יְסוֹד אֶחָד וּמוֹצָאָם אֶחָד.
וּמִמֶּנּוּ יוֹצְאִים וּמִתְחַדְּשִׁים. וּמִשָּׁם יִפָּרֵד וְהָיָה לְאַרְבָּעָה רָאשִׁים:</t>
        </is>
      </c>
      <c r="F483" s="10" t="inlineStr"/>
      <c r="G483" s="14" t="inlineStr">
        <is>
          <t>Keter Malkhut.10</t>
        </is>
      </c>
      <c r="H483" s="12" t="inlineStr">
        <is>
          <t>Mahberet miShire Kodesh, I. Davidson. JPS, Philadelphia, 1923 — Public Domain</t>
        </is>
      </c>
      <c r="I483" s="12" t="inlineStr">
        <is>
          <t>sefaria-keter-malkhut-10</t>
        </is>
      </c>
    </row>
    <row r="484" ht="131" customHeight="1">
      <c r="A484" s="7">
        <f>IF(LEN(TRIM(F484))=0,"Approved","Comment to address")</f>
        <v/>
      </c>
      <c r="B484" s="8" t="inlineStr">
        <is>
          <t>Keter Malkhut</t>
        </is>
      </c>
      <c r="C484" s="8" t="inlineStr">
        <is>
          <t>source</t>
        </is>
      </c>
      <c r="D484" s="8" t="inlineStr">
        <is>
          <t>Requires Edition Specific Identification</t>
        </is>
      </c>
      <c r="E484" s="9" t="inlineStr">
        <is>
          <t>מִי יְחַוֶּה גְדֻלָּתֶךָ. בְּהַקִּיפְךָ עַל גַּלְגַּל הָאֵשׁ גַּלְגַּל הָרָקִיעַ וּבוֹ הַיָּרֵחַ. וּמִזִּיו הַשֶּׁמֶשׁ שׁוֹאֵף וְזוֹרֵחַ.
וּבְתִשְׁעָה וְעֶשְׂרִים יוֹם יִסּוֹב גַּלְגַּלּוֹ. וְיַעֲלֶה דֶרֶךְ גְּבוּלוֹ:
וְסוֹדֶיהָ מֵהֶם פְּשׁוּטִים וּמֵהֶם עֲמוּקִים. וְגוּפוֹ פָּחוּת מִגּוּף הָאָרֶץ כְּחֵלֶק מִתִּשְׁעָה וּשְׁלֹשִׁים חֲלָקִים.
וְהוּא מְעוֹרֵר מִדֵּי חֹדֶשׁ בְּחָדְשׁוֹ עוֹלָם וְקוֹרוֹתָיו. וְטוֹבוֹתָיו וְרָעוֹתָיו. בִּרְצוֹן הַבּוֹרֵא אוֹתוֹ. לְהוֹדִיעַ לִבְנֵי הָאָדָם גְּבוּרוֹתָיו:</t>
        </is>
      </c>
      <c r="F484" s="10" t="inlineStr"/>
      <c r="G484" s="11" t="inlineStr">
        <is>
          <t>Keter Malkhut.11</t>
        </is>
      </c>
      <c r="H484" s="8" t="inlineStr">
        <is>
          <t>Mahberet miShire Kodesh, I. Davidson. JPS, Philadelphia, 1923 — Public Domain</t>
        </is>
      </c>
      <c r="I484" s="8" t="inlineStr">
        <is>
          <t>sefaria-keter-malkhut-11</t>
        </is>
      </c>
    </row>
    <row r="485" ht="409" customHeight="1">
      <c r="A485" s="7">
        <f>IF(LEN(TRIM(F485))=0,"Approved","Comment to address")</f>
        <v/>
      </c>
      <c r="B485" s="12" t="inlineStr">
        <is>
          <t>Keter Malkhut</t>
        </is>
      </c>
      <c r="C485" s="12" t="inlineStr">
        <is>
          <t>source</t>
        </is>
      </c>
      <c r="D485" s="12" t="inlineStr">
        <is>
          <t>Requires Edition Specific Identification</t>
        </is>
      </c>
      <c r="E485" s="13" t="inlineStr">
        <is>
          <t>מִי יַזְכִּיר תְּהִלָּתֶךָ. בַּעֲשׂוֹתְךָ הַיָּרֵחַ רֹאשׁ לְחֶשְׁבּוֹן מוֹעֲדִים וּזְמַנִּים. וּתְקוּפוֹת וְאוֹתוֹת לְיָמִים וְשָׁנִים:
בַּלַּיְלָה מֶמְשַׁלְתּוֹ. עַד בּוֹא עִתּוֹ.
וְתֶחְשַׁךְ יִפְעָתוֹ. וְיִתְכַּסֶּה מַעֲטֵה קַדְרוּתוֹ. כִּי מִמְּאוֹר הַשֶּׁמֶשׁ אוֹרָתוֹ:
וּבְלֵיל אַרְבָּעָה עָשָׂר אִם יַעַמְדוּ עַל קַו הַתְּלִי שְׁנֵיהֶם. וְיַפְרִיד בֵּינֵיהֶם.
אָז הַיָּרֵחַ לֹא יָהֵל אוֹרוֹ. וְיִדְעַךְ נֵרוֹ:
לְמַעַן דַּעַת כָּל עַמֵּי הָאָרֶץ. כִּי הֵם בְּרוּאֵי מַעְלָה. וְאִם הֵם יְקָרִים. עֲלֵיהֶם שׁוֹפֵט לְהַשְׁפִּיל וּלְהָרִים:
אַךְ יִחְיֶה אַחֲרֵי נָפְלוֹ. וְיָאִיר אַחֲרֵי אָפְלוֹ.
וּבְהִדָּבְקוֹ בְּסוֹף הַחֹדֶשׁ עִם הַחַמָּה.
אִם יִהְיֶה תְּלִי בֵּינֵיהֶם. וְעַל קַו אֶחָד יַעַמְדוּ שְׁנֵיהֶם.
אָז יַעֲמֹד הַיָּרֵחַ לִפְנֵי הַשֶּׁמֶשׁ כְּעָב שְׁחוֹרָה. וְיַסְתִּיר מֵעֵין כָּל רֹאֶיהָ מְאוֹרָהּ.
לְמַעַן יֵדְעוּ כָּל רֹאֶיהָ כִּי אֵין הַמַּלְכוּת לִצְבָא הַשָּׁמַיִם וַחֲיָלֵיהֶם.
אֲבָל יֵשׁ אָדוֹן עֲלֵיהֶם. מַחֲשִׁיךְ מְאוֹרֵיהֶם.
כִּי גָּבוֹהַּ מֵעַל גָּבוֹהַּ שֹׁמֵר וּגְבֹהִים עֲלֵיהֶם. וְהַחוֹשְׁבִים כִּי הַשֶּׁמֶשׁ אֱלֹהֵיהֶם.
בָּעֵת הַזֹּאת יֵבוֹשׁוּ מִמַּחְשְׁבוֹתֵיהֶם. וְיִבָּחֲנוּ דִּבְרֵיהֶם.
וְיֵדְעוּ כִּי יַד יְיָ עָשְׂתָה זֹאת וְאֵין לַשֶּׁמֶשׁ יְכֹלֶת. וְהַמַּחֲשִׁיךְ אוֹרָהּ לְבַדּוֹ הַמֶּמְשֶׁלֶת.
וְהוּא הַשּׂוֹלֵחַ אֵלֶיהָ עֶבֶד מֵעֲבָדֶיהָ גְּמוּל חֲסָדֶיהָ. לְהַסְתִּיר אוֹרָהּ. וְלִכְרוֹת מִפְלַצְתָּהּ וַיְסִירֶהָ מִגְּבִירָה:</t>
        </is>
      </c>
      <c r="F485" s="10" t="inlineStr"/>
      <c r="G485" s="14" t="inlineStr">
        <is>
          <t>Keter Malkhut.12</t>
        </is>
      </c>
      <c r="H485" s="12" t="inlineStr">
        <is>
          <t>Mahberet miShire Kodesh, I. Davidson. JPS, Philadelphia, 1923 — Public Domain</t>
        </is>
      </c>
      <c r="I485" s="12" t="inlineStr">
        <is>
          <t>sefaria-keter-malkhut-12</t>
        </is>
      </c>
    </row>
    <row r="486" ht="182" customHeight="1">
      <c r="A486" s="7">
        <f>IF(LEN(TRIM(F486))=0,"Approved","Comment to address")</f>
        <v/>
      </c>
      <c r="B486" s="8" t="inlineStr">
        <is>
          <t>Keter Malkhut</t>
        </is>
      </c>
      <c r="C486" s="8" t="inlineStr">
        <is>
          <t>source</t>
        </is>
      </c>
      <c r="D486" s="8" t="inlineStr">
        <is>
          <t>Requires Edition Specific Identification</t>
        </is>
      </c>
      <c r="E486" s="9" t="inlineStr">
        <is>
          <t>מִי יְסַפֵּר צִדְקוֹתֶיךָ. בְּהַקִּיפְךָ עַל רְקִיעַ הַיָּרֵחַ גַּלְגַּל שֵׁנִי בְּאֵין יוֹצֵאת וָפֶרֶץ.
וּבוֹ כּוֹכָב וְהוּא הַנִּקְרָא כּוֹכָב וּמִדָּתוֹ כְּחֵלֶק מִשְּׁנַיִם וְעֶשְׂרִים אֶלֶף מִן הָאָרֶץ.
וּמַקִּיף הַגַּלְגַּל בַּעֲשָׂרָה יָמִים בְּמֶרֶץ:
וְהוּא מְעוֹרֵר בָּעוֹלָם רִיבוֹת וּמְדָנִים. וְאֵיבוֹת וּרְנָנִים:
וְנוֹתֵן כֹּחַ לַעֲשׂוֹת חַיִל וְלִצְבּוֹר הוֹן. וְלִכְנוֹס עֹשֶׁר וּמָמוֹן.
בְּמִצְוַת הַבּוֹרֵא אוֹתוֹ לְשָׁרְתוֹ כְּעֶבֶד לִפְנֵי אָדוֹן:
וְהוּא כּוֹכַב הַשֵּׂכֶל וְהַחָכְמָה.
נוֹתֵן לִפְתָאיִם עָרְמָה. לְנַעַר דַּעַת וּמְזִמָּה:</t>
        </is>
      </c>
      <c r="F486" s="10" t="inlineStr"/>
      <c r="G486" s="11" t="inlineStr">
        <is>
          <t>Keter Malkhut.13</t>
        </is>
      </c>
      <c r="H486" s="8" t="inlineStr">
        <is>
          <t>Mahberet miShire Kodesh, I. Davidson. JPS, Philadelphia, 1923 — Public Domain</t>
        </is>
      </c>
      <c r="I486" s="8" t="inlineStr">
        <is>
          <t>sefaria-keter-malkhut-13</t>
        </is>
      </c>
    </row>
    <row r="487" ht="165" customHeight="1">
      <c r="A487" s="7">
        <f>IF(LEN(TRIM(F487))=0,"Approved","Comment to address")</f>
        <v/>
      </c>
      <c r="B487" s="12" t="inlineStr">
        <is>
          <t>Keter Malkhut</t>
        </is>
      </c>
      <c r="C487" s="12" t="inlineStr">
        <is>
          <t>source</t>
        </is>
      </c>
      <c r="D487" s="12" t="inlineStr">
        <is>
          <t>Requires Edition Specific Identification</t>
        </is>
      </c>
      <c r="E487" s="13" t="inlineStr">
        <is>
          <t>מִי יָבִין סוֹדוֹתֶיךָ. בְּהַקִּיפְךָ עַל גַּלְגַּל הַשֵּׁנִי גַּלְגַּל הַשְּׁלִישִׁי וּבוֹ נֹגַהּ כִּגְבֶרֶת בֵּין חֲיָּלֶיהָ. וְכַכַּלָּה תַּעְדֶּה כֵלֶיהָ:
וּבְעַשְׁתֵּי עָשָׂר חֹדֶשׁ תִּסֹּב גְּלִילֶיהָ. וְגוּפָהּ כְּחֵלֶק מִשִּׁבְעָה וּשְׁלֹשִׁים מִן הָאָרֶץ לְיוֹדְעֵי סוֹדָהּ וּמַשְׂכִּילֶיהָ:
וְהִיא מְחַדֶּשֶׁת בָּעוֹלָם בִּרְצוֹן בּוֹרְאָהּ.
הַשְׁקֵט וְשַׁלְוָה וְדִיצָה וְחֶדְוָה:
וְשִׁירוֹת וּרְנָנִים. וּמִצְהֲלוֹת חֻפּוֹת חֲתָנִים.
וְהִיא מְקַשֶּׁרֶת פְּרִי תְנוּבוֹת וּשְׁאָר הַצְּמָחִים. מִמֶּגֶד תְּבוּאוֹת שָׁמֶשׁ. וּמִמֶּגֶד גֶּרֶשׁ יְרָחִים:</t>
        </is>
      </c>
      <c r="F487" s="10" t="inlineStr"/>
      <c r="G487" s="14" t="inlineStr">
        <is>
          <t>Keter Malkhut.14</t>
        </is>
      </c>
      <c r="H487" s="12" t="inlineStr">
        <is>
          <t>Mahberet miShire Kodesh, I. Davidson. JPS, Philadelphia, 1923 — Public Domain</t>
        </is>
      </c>
      <c r="I487" s="12" t="inlineStr">
        <is>
          <t>sefaria-keter-malkhut-14</t>
        </is>
      </c>
    </row>
    <row r="488" ht="250" customHeight="1">
      <c r="A488" s="7">
        <f>IF(LEN(TRIM(F488))=0,"Approved","Comment to address")</f>
        <v/>
      </c>
      <c r="B488" s="8" t="inlineStr">
        <is>
          <t>Keter Malkhut</t>
        </is>
      </c>
      <c r="C488" s="8" t="inlineStr">
        <is>
          <t>source</t>
        </is>
      </c>
      <c r="D488" s="8" t="inlineStr">
        <is>
          <t>Requires Edition Specific Identification</t>
        </is>
      </c>
      <c r="E488" s="9" t="inlineStr">
        <is>
          <t>מִי יַשְׂכִּיל סוֹדְךָ בְּהַקִּיפְךָ עַל גַּלְגַּל נֹגַהּ גַּלְגַּל רְבִיעִי וּבוֹ הַחַמָּה.
וְסוֹבֶבֶת כָּל הַגַּלְגַּל בְּשָׁנָה תְמִימָה.
וְגוּפָהּ גָּדוֹל מִגּוּף הָאָרֶץ מֵאָה וְשִׁבְעִים פַּעַם בְּמוֹפְתֵי שֵׂכֶל וּמְזִמָּה.
וְהִיא חוֹלֶקֶת לְכָל כּוֹכְבֵי שָׁמַיִם וְנוֹתֶנֶת תְּשׁוּעָה לַמְּלָכִים וְהוֹד וּמַלְכוּת וְאֵימָה.
וּמְחַדֶּשֶׁת נִפְלָאוֹת בָּעוֹלָם אִם לְשָׁלוֹם וְאִם לַמִּלְחָמָה.
וְעוֹקֶרֶת מַלְכֻיוֹת וְתַחְתָּם אֲחֵרוֹת מְקִימָה וּמְרִימָה.
וְלָהּ יְכֹלֶת לְהַשְׁפִּיל וּלְהָרִים בְּיָד רָמָה.
וְהַכֹּל בִּרְצוֹן הַבּוֹרֵא אוֹתָהּ בְּחָכְמָה:
וּבְכָל יוֹם וָיוֹם תִּשְׁתַּחֲוֶה לְמַלְכָּהּ וּבֵית נְתִיבוֹת נִצָּבָה.
וּבַשַּׁחַר תָּרִים רֹאשׁ וְתִקּוֹד לָעֶרֶב בְּמַעֲרָבָה.
בָּעֶרֶב הִיא בָאָה וּבַבֹּקֶר הִיא שָׁבָה:</t>
        </is>
      </c>
      <c r="F488" s="10" t="inlineStr"/>
      <c r="G488" s="11" t="inlineStr">
        <is>
          <t>Keter Malkhut.15</t>
        </is>
      </c>
      <c r="H488" s="8" t="inlineStr">
        <is>
          <t>Mahberet miShire Kodesh, I. Davidson. JPS, Philadelphia, 1923 — Public Domain</t>
        </is>
      </c>
      <c r="I488" s="8" t="inlineStr">
        <is>
          <t>sefaria-keter-malkhut-15</t>
        </is>
      </c>
    </row>
    <row r="489" ht="284" customHeight="1">
      <c r="A489" s="7">
        <f>IF(LEN(TRIM(F489))=0,"Approved","Comment to address")</f>
        <v/>
      </c>
      <c r="B489" s="12" t="inlineStr">
        <is>
          <t>Keter Malkhut</t>
        </is>
      </c>
      <c r="C489" s="12" t="inlineStr">
        <is>
          <t>source</t>
        </is>
      </c>
      <c r="D489" s="12" t="inlineStr">
        <is>
          <t>Requires Edition Specific Identification</t>
        </is>
      </c>
      <c r="E489" s="13" t="inlineStr">
        <is>
          <t>מִי יָכִיל גְּדֻלָּתְךָ בַּעֲשׂוֹתְךָ אוֹתָהּ לִמְנוֹת בָּהּ יָמִים וְשָׁנִים. וְעִתִּים מְזֻמָּנִים.
וּלְהַצְמִיחַ בָּהּ עֵץ עֹשֶׂה פְּרִי וּמַעֲדַנּוֹת כִּימָה וּמוֹשְׁכוֹת כְּסִיל דְּשֵׁנִים וְרַעֲנַנִּים:
וְשִׁשָּׁה חֳדָשִׁים הוֹלֶכֶת לִפְאַת צָפוֹן לְחַמֵּם הָאַוֵּר וְהַמַּיִם וְהָעֵצִים וְהָאֲבָנִים:
וּכְפִי קִרְבָתָהּ לַצָּפוֹן יִגְדְּלוּ הַיָּמִים וְיַאֲרִיכוּ הַזְּמַנִּים.
עַד יִמָּצֵא מָקוֹם אֲשֶׁר יִגְדַּל יוֹמוֹ עַד הֱיוֹתוֹ שִׁשָּׁה חֳדָשִׁים בְּמוֹפְתִים נֶאֱמָנִים.
וְשִׁשָּׁה חֳדָשִׁים הוֹלֶכֶת לִפְאַת דָּרוֹם בְּמַעְגָּלִים נְתוּנִים.
עַד יִמָּצֵא מָקוֹם אֲשֶׁר יִגְדַּל לֵילוֹ עַד הֱיוֹתוֹ שִׁשָּׁה חָדֳשִׁים לְפִי מִבְחַן הַבּוֹחֲנִים.
וּמִמֶּנָּה יִוָּדְעוּ קְצַת דַּרְכֵי בוֹרְאָהּ שֶׁמֶץ מִגְּבוּרוֹתָיו. וֶעֱזוּזוֹ וְנִפְלְאוֹתָיו.
כִּי מִגְּדֻלַּת הָעֲבָדִים גְּדֻלַּת הָאָדוֹן נוֹדַעַת. לְכָל יוֹדְעֵי דָּעַת:
וְעַל הָעֶבֶד יִגָּלֶה תֹקֶף הָאָדוֹן וּכְבוֹדוֹ. וְכָל טוּב אֲדֹנָיו בְּיָדוֹ:</t>
        </is>
      </c>
      <c r="F489" s="10" t="inlineStr"/>
      <c r="G489" s="14" t="inlineStr">
        <is>
          <t>Keter Malkhut.16</t>
        </is>
      </c>
      <c r="H489" s="12" t="inlineStr">
        <is>
          <t>Mahberet miShire Kodesh, I. Davidson. JPS, Philadelphia, 1923 — Public Domain</t>
        </is>
      </c>
      <c r="I489" s="12" t="inlineStr">
        <is>
          <t>sefaria-keter-malkhut-16</t>
        </is>
      </c>
    </row>
    <row r="490" ht="233" customHeight="1">
      <c r="A490" s="7">
        <f>IF(LEN(TRIM(F490))=0,"Approved","Comment to address")</f>
        <v/>
      </c>
      <c r="B490" s="8" t="inlineStr">
        <is>
          <t>Keter Malkhut</t>
        </is>
      </c>
      <c r="C490" s="8" t="inlineStr">
        <is>
          <t>source</t>
        </is>
      </c>
      <c r="D490" s="8" t="inlineStr">
        <is>
          <t>Requires Edition Specific Identification</t>
        </is>
      </c>
      <c r="E490" s="9" t="inlineStr">
        <is>
          <t>מִי יַכִּיר אוֹתוֹתֶיךָ. בְּהַקִּיפְךָ אוֹתָהּ לְהַעֲנִיק אוֹר. לְכוֹכְבֵי מַעְלָה וּמַטָּה גַּם לַלְּבָנָה. וְאִם תַּחְתֶּיהָ תַּעֲמוֹד הַבַּהֶרֶת לְבָנָה.
וּכְפִי אֲשֶׁר יִרְחַק מִמֶּנָּה הַיָּרֵחַ. מִזִּיוָהּ לוֹקֵחַ.
כִּי בְרַחֲקוֹ יִקְרַב לַעֲמוֹד נָכְחָהּ. וִיקַבֵּל זָרְחָהּ.
עַד יְמַלֵּא אוֹרוֹ בְּעָמְדוֹ לְפָנֶיהָ. וְהֵאִיר אֶל עֵבֶר פָּנֶיהָ:
וְכָל אֲשֶׁר יִקְרַב אַחַר חֲצִי הַחֹדֶשׁ אֵלֶיהָ. הוּא נוֹטֶה מֵעָלֶיהָ.
וְיִרְחַק מֵעֲמוֹד נֶגְדָּהּ. וְיֵלֶךְ לְצִדָּהּ.
וְעַל כֵּן תֶּחְסַר אַדַּרְתּוֹ.
עַד כְּלוֹת חָדְשׁוֹ וּתְקוּפָתוֹ. וְיָבֹא בִּגְבוּל שְׂפָתוֹ:
וּבְהִדָּבְקוֹ עִמָּהּ. יִסָּתֵר בְּמִסְתָּרִים. כְּפִי יוֹם וַחֲצִי שָׁעָה וּרְגָעִים סְפוּרִים:
וְאַחֲרֵי כֵן יִתְחַדֵּשׁ וְיָשׁוּב לְקַדְמוּתוֹ. וְהוּא כְּחָתָן יוֹצֵא מֵחֻפָּתוֹ:</t>
        </is>
      </c>
      <c r="F490" s="10" t="inlineStr"/>
      <c r="G490" s="11" t="inlineStr">
        <is>
          <t>Keter Malkhut.17</t>
        </is>
      </c>
      <c r="H490" s="8" t="inlineStr">
        <is>
          <t>Mahberet miShire Kodesh, I. Davidson. JPS, Philadelphia, 1923 — Public Domain</t>
        </is>
      </c>
      <c r="I490" s="8" t="inlineStr">
        <is>
          <t>sefaria-keter-malkhut-17</t>
        </is>
      </c>
    </row>
    <row r="491" ht="199" customHeight="1">
      <c r="A491" s="7">
        <f>IF(LEN(TRIM(F491))=0,"Approved","Comment to address")</f>
        <v/>
      </c>
      <c r="B491" s="12" t="inlineStr">
        <is>
          <t>Keter Malkhut</t>
        </is>
      </c>
      <c r="C491" s="12" t="inlineStr">
        <is>
          <t>source</t>
        </is>
      </c>
      <c r="D491" s="12" t="inlineStr">
        <is>
          <t>Requires Edition Specific Identification</t>
        </is>
      </c>
      <c r="E491" s="13" t="inlineStr">
        <is>
          <t>מִי יֵדַע פְּלִיאוֹתֶיךָ בְּהַקִּיפְךָ עַל גַּלְגַּל חַמָּה גַּלְגַּל חֲמִישִׁי וּבוֹ מַאֲדִים כְּמֶלֶךְ בְּהֵיכָלוֹ.
וּבִשְׁמוֹנָה עָשָׂר חֹדֶשׁ יִסֹּב גַּלְגַּלּוֹ.
וּמִדָּתוֹ כְּגוּף הָאָרֶץ פַּעַם וָחֵצִי וּשְׁמִינִית פַּעַם וְזֶה תַּכְלִית גָּדְלוֹ:
וְהוּא כְּגִבּוֹר עָרִיץ מָגֵן גִּבּוֹרֵיהוּ מְאָדָּם.
וּמְעוֹרֵר מִלְחָמוֹת וְהֶרֶג וְאַבְּדָן.
וּמֻכֵּי חֶרֶב וּלְחֻמֵי רֶשֶׁף נֶהְפַּךְ לְחֹרֶב לְשַׁדָּם.
וּשְׁנַת בַּצֹּרֶת וּשְׂרֵפַת אֵשׁ וּרְעָמִים וְאַבְנֵי אֶלְגָּבִישׁ וּמְדֻקָּרִים וּשְׁלוּפֵי חֶרֶב כְּנֶגְדָּם.
כִּי רַגְלֵיהֶם לָרַע יָרוּצוּ וִימַהֲרוּ לִשְׁפָּךְ דָּם:</t>
        </is>
      </c>
      <c r="F491" s="10" t="inlineStr"/>
      <c r="G491" s="14" t="inlineStr">
        <is>
          <t>Keter Malkhut.18</t>
        </is>
      </c>
      <c r="H491" s="12" t="inlineStr">
        <is>
          <t>Mahberet miShire Kodesh, I. Davidson. JPS, Philadelphia, 1923 — Public Domain</t>
        </is>
      </c>
      <c r="I491" s="12" t="inlineStr">
        <is>
          <t>sefaria-keter-malkhut-18</t>
        </is>
      </c>
    </row>
    <row r="492" ht="199" customHeight="1">
      <c r="A492" s="7">
        <f>IF(LEN(TRIM(F492))=0,"Approved","Comment to address")</f>
        <v/>
      </c>
      <c r="B492" s="8" t="inlineStr">
        <is>
          <t>Keter Malkhut</t>
        </is>
      </c>
      <c r="C492" s="8" t="inlineStr">
        <is>
          <t>source</t>
        </is>
      </c>
      <c r="D492" s="8" t="inlineStr">
        <is>
          <t>Requires Edition Specific Identification</t>
        </is>
      </c>
      <c r="E492" s="9" t="inlineStr">
        <is>
          <t>מִי יַבִּיעַ נוֹרְאוֹתֶיךָ בְּהַקִּיפְךָ עַל גַּלְגַּל מַאֲדִים גַּלְגַּל שִׁשִּׁי הוֹלֵךְ בִּמְסִבָּה.
עֲצוּמָה וְרַבָּה.
צֶדֶק יָלִין בָּהּ:
וְגוּפוֹ גָדוֹל מִגּוּף הָאָרֶץ חֲמִשָּׁה וְשִׁבְעִים פַּעַם בְּמִדַּת רָחְבָּהּ.
וְסוֹבֵב הַגַּלְגַּל בִּשְׁתֵּים עֶשְׂרֵה שָׁנָה וְהוּא כּוֹכַב רָצוֹן וְהָאַהֲבָה.
וּמְעוֹרֵר יִרְאַת הַשֵּׁם וְיֹשֶׁר וּתְשׁוּבָה. וְכָל מִדָּה טוֹבָה.
וּמַרְבֶּה כָּל תְּבוּאָה וּתְנוּבָה.
וּמַשְׁבִּית מִלְחָמוֹת וְאֵיבָה וּמְרִיבָה:
וְדָתוֹ לְחַזֵּק בְּיָשְׁרוֹ כָּל בֶּדֶק. וְהוּא יִשְׁפּוֹט תֵּבֵל בְּצֶדֶק:</t>
        </is>
      </c>
      <c r="F492" s="10" t="inlineStr"/>
      <c r="G492" s="11" t="inlineStr">
        <is>
          <t>Keter Malkhut.19</t>
        </is>
      </c>
      <c r="H492" s="8" t="inlineStr">
        <is>
          <t>Mahberet miShire Kodesh, I. Davidson. JPS, Philadelphia, 1923 — Public Domain</t>
        </is>
      </c>
      <c r="I492" s="8" t="inlineStr">
        <is>
          <t>sefaria-keter-malkhut-19</t>
        </is>
      </c>
    </row>
    <row r="493" ht="131" customHeight="1">
      <c r="A493" s="7">
        <f>IF(LEN(TRIM(F493))=0,"Approved","Comment to address")</f>
        <v/>
      </c>
      <c r="B493" s="12" t="inlineStr">
        <is>
          <t>Keter Malkhut</t>
        </is>
      </c>
      <c r="C493" s="12" t="inlineStr">
        <is>
          <t>source</t>
        </is>
      </c>
      <c r="D493" s="12" t="inlineStr">
        <is>
          <t>Requires Edition Specific Identification</t>
        </is>
      </c>
      <c r="E493" s="13" t="inlineStr">
        <is>
          <t>מִי יְשׂוֹחֵחַ גְּדֻלָּתֶךָ בְּהַקִּיפְךָ עַל גַּלְגַּל צֶדֶק גַּלְגַּל שְׁבִיעִי וּבוֹ שַׁבְּתַי בִּתְקוּפָתוֹ.
וְגוּפוֹ גָדוֹל מִגּוּף הָאָרֶץ אֶחָד וְתִשְׁעִים פַּעַם בְּמִדָּתוֹ.
וְסוֹבֵב הַגַּלְגַּל בִּשְׁלֹשִׁים שָׁנָה בִּמְרוּצָתוֹ.
וּמְעוֹרֵר מִלְחָמוֹת וּבִזָּה וּשְׁבִי וְרָעָב כִּי כֵן דָּתוֹ.
וּמַחֲרִיב אֲרָצוֹת וְעוֹקֵר מַלְכֻיּוֹת בִּרְצוֹן הַמַּפְקִיד אוֹתוֹ. לַעֲבוֹד עֲבוֹדָתוֹ נָכְרִיָּה עֲבוֹדָתוֹ:</t>
        </is>
      </c>
      <c r="F493" s="10" t="inlineStr"/>
      <c r="G493" s="14" t="inlineStr">
        <is>
          <t>Keter Malkhut.20</t>
        </is>
      </c>
      <c r="H493" s="12" t="inlineStr">
        <is>
          <t>Mahberet miShire Kodesh, I. Davidson. JPS, Philadelphia, 1923 — Public Domain</t>
        </is>
      </c>
      <c r="I493" s="12" t="inlineStr">
        <is>
          <t>sefaria-keter-malkhut-20</t>
        </is>
      </c>
    </row>
    <row r="494" ht="199" customHeight="1">
      <c r="A494" s="7">
        <f>IF(LEN(TRIM(F494))=0,"Approved","Comment to address")</f>
        <v/>
      </c>
      <c r="B494" s="8" t="inlineStr">
        <is>
          <t>Keter Malkhut</t>
        </is>
      </c>
      <c r="C494" s="8" t="inlineStr">
        <is>
          <t>source</t>
        </is>
      </c>
      <c r="D494" s="8" t="inlineStr">
        <is>
          <t>Requires Edition Specific Identification</t>
        </is>
      </c>
      <c r="E494" s="9" t="inlineStr">
        <is>
          <t>מִי יַגִּיעַ לְרוֹמְמוּתֶךָ בְּהַקִּיפְךָ עַל גַּלְגַּל שַׁבְּתַי גַּלְגַּל שְׁמִינִי בִּמְסִבָּתוֹ.
וְהוּא סוֹבֵל שְׁתֵּים עֶשְׂרֵה מַזָּלוֹת עַל קַו חֵשֶׁב אֲפֻדָּתוֹ.
וְכָל כּוֹכְבֵי שַׁחַק הָעֶלְיוֹנִים יְצוּקִים בִּיצוּקָתוֹ. וְכָל כּוֹכָב מֵהֶם יַקִּיף הַגַּלְגַּל בְּשִׁשָּׁה וּשְׁלֹשִׁים אֶלֶף שָׁנִים מֵרֹב גַּבְהוּתוֹ.
וְגוּף כָּל כּוֹכָב מֵהֶם מֵאָה וְשֶׁבַע פְּעָמִים כְּגוּף הָאָרֶץ וְזֹאת תַּכְלִית גְּדֻלָּתוֹ:
וּמִכֹּחַ הַמַּזָּלוֹת הָהֵם. נֶאֱצַל כֹּחַ כָּל בְּרוּאֵי מַטָּה לְמִינֵיהֶם. בִּרְצוֹן בּוֹרְאָם וּמַפְקִידָם עֲלֵיהֶם:
וְכָל אֶחָד מֵהֶם עַל מַתְכֻּנְתּוֹ בָּרְאוֹ. וּבְשֵׁם קְרָאוֹ. אִישׁ אִישׁ עַל עֲבוֹדָתוֹ וְעַל מַשָּׂאוֹ:</t>
        </is>
      </c>
      <c r="F494" s="10" t="inlineStr"/>
      <c r="G494" s="11" t="inlineStr">
        <is>
          <t>Keter Malkhut.21</t>
        </is>
      </c>
      <c r="H494" s="8" t="inlineStr">
        <is>
          <t>Mahberet miShire Kodesh, I. Davidson. JPS, Philadelphia, 1923 — Public Domain</t>
        </is>
      </c>
      <c r="I494" s="8" t="inlineStr">
        <is>
          <t>sefaria-keter-malkhut-21</t>
        </is>
      </c>
    </row>
    <row r="495" ht="216" customHeight="1">
      <c r="A495" s="7">
        <f>IF(LEN(TRIM(F495))=0,"Approved","Comment to address")</f>
        <v/>
      </c>
      <c r="B495" s="12" t="inlineStr">
        <is>
          <t>Keter Malkhut</t>
        </is>
      </c>
      <c r="C495" s="12" t="inlineStr">
        <is>
          <t>source</t>
        </is>
      </c>
      <c r="D495" s="12" t="inlineStr">
        <is>
          <t>Requires Edition Specific Identification</t>
        </is>
      </c>
      <c r="E495" s="13" t="inlineStr">
        <is>
          <t>מִי יֵדַע הֲלִיכוֹתֶךָ בַּעֲשׂוֹתְךָ לְשִׁבְעָה כּוֹכְבֵי לֶכֶת הֵיכָלוֹת. בִּשְׁתֵּים עֶשְׂרֵה מַזָּלוֹת:
וְעַל טָלֶה וָשׁוֹר אָצַלְתָּ כֹּחֲךָ בְּהִתְיַחֲדָם. וְהַשְּׁלִישִׁי תְּאוֹמִים כִּשְׁנֵי אַחִים בְּהִתְאַחֲדָם. וּדְמוּת פְּנֵיהֶם פְּנֵי אָדָם.
וְלָרְבִיעִי וְהוּא סַרְטָן גַּם לָאַרְיֵה נָתַתָּ מֵהוֹדְךָ עָלָיו. וְלַאֲחוֹתוֹ הַבְּתוּלָה הַקְּרוֹבָה אֵלָיו.
וְכֵן לַמֹּאזְנַיִם וְלָעַקְרָב אֲשֶׁר בְּצִדּוֹ הוּשַׁת. וְהַתְּשִׁיעִי הַנִּבְרָא כְּצוּרַת גִּבּוֹר כֹחוֹ וְלֹא נָשָׁת. וַיְהִי רֹבֶה קַשָּׁת.
וְכֵן נִבְרָא גְּדִי וּדְלִי בְּכֹחֲךָ הַגָּדוֹל. וּלְבַדּוֹ הַמַּזָּל הָאַחֲרוֹן וַיְמַן יְיָ דָּג גָּדוֹל:
וְאֵלֶּה הַמַּזָּלוֹת הַגְּבוֹהִים וְנִשָּׂאִים בְּמַעֲלוֹתָם. שְׁנֵי עָשָׂר לְאֻמּוֹתָם:</t>
        </is>
      </c>
      <c r="F495" s="10" t="inlineStr"/>
      <c r="G495" s="14" t="inlineStr">
        <is>
          <t>Keter Malkhut.22</t>
        </is>
      </c>
      <c r="H495" s="12" t="inlineStr">
        <is>
          <t>Mahberet miShire Kodesh, I. Davidson. JPS, Philadelphia, 1923 — Public Domain</t>
        </is>
      </c>
      <c r="I495" s="12" t="inlineStr">
        <is>
          <t>sefaria-keter-malkhut-22</t>
        </is>
      </c>
    </row>
    <row r="496" ht="182" customHeight="1">
      <c r="A496" s="7">
        <f>IF(LEN(TRIM(F496))=0,"Approved","Comment to address")</f>
        <v/>
      </c>
      <c r="B496" s="8" t="inlineStr">
        <is>
          <t>Keter Malkhut</t>
        </is>
      </c>
      <c r="C496" s="8" t="inlineStr">
        <is>
          <t>source</t>
        </is>
      </c>
      <c r="D496" s="8" t="inlineStr">
        <is>
          <t>Requires Edition Specific Identification</t>
        </is>
      </c>
      <c r="E496" s="9" t="inlineStr">
        <is>
          <t>יְיָ מִי יַחֲקוֹר תַּעֲלוּמוֹתֶיךָ בְּהַאֲצִילְךָ עַל גַּלְגַּל הַמַּזָּלוֹת גַּלְגַּל תְּשִׁיעִי בְּמַעֲרָכוֹ.
הַמַּקִּיף עַל כָּל הַגַּלְגַּלִּים וּבְרוּאֵיהֶם וְהֵם סְגוּרִים בְּתוֹכוֹ.
הַמַּנְהִיג כָּל כּוֹכְבֵי שָׁמַיִם וְגַלְגַּלֵּיהֶם מִמִּזְרָח לְמַעֲרָב לְתֹקֶף מַהֲלָכוֹ.
הַמִּשְׁתַּחֲוֶה פַּעַם בְּכָל יוֹם לִפְאַת מַעֲרָב לְמַלְכּוֹ וּמַמְלִיכוֹ.
וְכָל בְּרוּאֵי עוֹלָם בְּתוֹכוֹ.
כְּגַרְגִּיר חַרְדָּל בַּיָּם הַגָּדוֹל לְתֹקֶף גָּדְלוֹ וְעֶרְכּוֹ.
וְהוּא וּגְדֻלָּתוֹ נֶחְשַׁב כְּאַיִן וּכְאֶפֶס לִגְדֻלַּת בּוֹרְאוֹ וּמַלְכּוֹ:
וְכָל מַעֲלוֹתָיו וְגָדְלוֹ. מֵאֶפֶס וָתֹהוּ נֶחְשְׁבוּ לוֹ:</t>
        </is>
      </c>
      <c r="F496" s="10" t="inlineStr"/>
      <c r="G496" s="11" t="inlineStr">
        <is>
          <t>Keter Malkhut.23</t>
        </is>
      </c>
      <c r="H496" s="8" t="inlineStr">
        <is>
          <t>Mahberet miShire Kodesh, I. Davidson. JPS, Philadelphia, 1923 — Public Domain</t>
        </is>
      </c>
      <c r="I496" s="8" t="inlineStr">
        <is>
          <t>sefaria-keter-malkhut-23</t>
        </is>
      </c>
    </row>
    <row r="497" ht="148" customHeight="1">
      <c r="A497" s="7">
        <f>IF(LEN(TRIM(F497))=0,"Approved","Comment to address")</f>
        <v/>
      </c>
      <c r="B497" s="12" t="inlineStr">
        <is>
          <t>Keter Malkhut</t>
        </is>
      </c>
      <c r="C497" s="12" t="inlineStr">
        <is>
          <t>source</t>
        </is>
      </c>
      <c r="D497" s="12" t="inlineStr">
        <is>
          <t>Requires Edition Specific Identification</t>
        </is>
      </c>
      <c r="E497" s="13" t="inlineStr">
        <is>
          <t>מִי יָבִין סוֹדוֹת נוֹרְאוֹתֶיךָ בַּהֲרִימְךָ עַל גַּלְגַּל הַתְּשִׁיעִי גַּלְגַּל הַשֵּׂכֶל הוּא הַהֵיכָל לִפְנָי. הָעֲשִׂירִי יִהְיֶה קֹדֶשׁ לַיָי:
וְהוּא הַגַּלְגַּל הַנַּעֲלֶה עַל כָּל עֶלְיוֹן. אֲשֶׁר לֹא יַשִּׂיגֵהוּ רַעְיוֹן.
וְשָׁם הַחֶבְיוֹן אֲשֶׁר הוּא לִכְבוֹדְךָ לְאַפִּרְיוֹן.
מִכֶּסֶף הָאֱמֶת יָצַקְתָּ אוֹתוֹ. וּמִזְּהַב הַשֵּׂכֶל עָשִׂיתָ רְפִידָתוֹ.
וְעַל עַמּוּדֵי צֶדֶק שַׂמְתָּ מְסִבָּתוֹ. וּמִכֹּחֲךָ מְצִיאוּתוֹ.
וּמִמְּךָ וְעָדֶיךָ מְגַמָּתוֹ. וְאֵלֶיךָ תְּשׁוּקָתוֹ:</t>
        </is>
      </c>
      <c r="F497" s="10" t="inlineStr"/>
      <c r="G497" s="14" t="inlineStr">
        <is>
          <t>Keter Malkhut.24</t>
        </is>
      </c>
      <c r="H497" s="12" t="inlineStr">
        <is>
          <t>Mahberet miShire Kodesh, I. Davidson. JPS, Philadelphia, 1923 — Public Domain</t>
        </is>
      </c>
      <c r="I497" s="12" t="inlineStr">
        <is>
          <t>sefaria-keter-malkhut-24</t>
        </is>
      </c>
    </row>
    <row r="498" ht="409" customHeight="1">
      <c r="A498" s="7">
        <f>IF(LEN(TRIM(F498))=0,"Approved","Comment to address")</f>
        <v/>
      </c>
      <c r="B498" s="8" t="inlineStr">
        <is>
          <t>Keter Malkhut</t>
        </is>
      </c>
      <c r="C498" s="8" t="inlineStr">
        <is>
          <t>source</t>
        </is>
      </c>
      <c r="D498" s="8" t="inlineStr">
        <is>
          <t>Requires Edition Specific Identification</t>
        </is>
      </c>
      <c r="E498" s="9" t="inlineStr">
        <is>
          <t>מִי יַעֲמִיק לְמַחְשְׁבוֹתֶיךָ בַּעֲשׂוֹתְךָ מִזִּיו הַשְּׁכִינָה זֹהַר הַנְּשָׁמוֹת. וְהַנְּפָשׁוֹת הָרָמוֹת.
הֵם מַלְאֲכֵי רְצוֹנֶךָ. מְשָׁרְתֵי פָנֶיךָ:
הֵם אַדִּירֵי כֹחַ וְגִבּוֹרֵי מַמְלֶכֶת. בְּיָדָם לַהַט הַחֶרֶב הַמִּתְהַפֶּכֶת.
וְעוֹשֵׂי מְלֶאכֶת. אֶל אֲשֶׁר יִהְיֶה שָׁמָּה הָרוּחַ לָלֶכֶת:
כֻּלָּם גִּזְרוֹת פְּנִינִיּוֹת וְחַיּוֹת עִלִּיּוֹת. חִיצוֹנִיּוֹת וּפְנִימִיּוֹת. הֲלִיכוֹתֶךָ צוֹפִיּוֹת:
מִמָּקוֹם קָדוֹשׁ יְהַלֵּכוּ. וּמִמְּקוֹר הָאוֹר יִמָּשֵׁכוּ:
נֶחֱלָקִים לְכִתּוֹת. וְעַל דִּגְלָם אוֹתוֹת.
בְּעֵט סוֹפֵר מָהִיר חֲרוּתוֹת. מֵהֶם נְסִיכוֹת וּמֵהֶם מְשָׁרְתוֹת:
מֵהֶם צְבָאוֹת. רָצוֹת וּבָאוֹת.
לֹא עֲיֵפוֹת וְלֹא נִלְאוֹת. רוֹאוֹת וְלֹא נִרְאוֹת:
מֵהֶם חֲצוּבֵי לֶהָבוֹת. וּמֵהֶם רוּחוֹת נוֹשְׁבוֹת: מֵהֶם מֵאֵשׁ וּמִמַּיִם מֻרְכָּבוֹת:
מֵהֶם שְׂרָפִים. וּמֵהֶם רְשָׁפִים:
מֵהֶם בְּרָקִים. וּמֵהֶם זִיקִים:
וְכָל כַּת מֵהֶם מִשְׁתַּחֲוָה לְרוֹכֵב עֲרָבוֹת. וּבְרוּם עוֹלָם נִצָּבִים לַאֲלָפִים וְלִרְבָבוֹת:
נֶחֱלָקִים לְמִשְׁמָרוֹת. בַּיּוֹם וּבַלַּיְלָה לְרֹאשׁ אַשְׁמוּרוֹת.
לַעֲרוֹךְ תְּהִלּוֹת וְשִׁירוֹת. לַנֶּאְזָר בִּגְבוּרוֹת:
כֻּלָּם בַּחֲרָדָה וּרְעָדָה כּוֹרְעִים וּמִשְׁתַּחֲוִים לָךְ. וְאוֹמְרִים מוֹדִים אֲנַחְנוּ לָךְ:
שֶׁאַתָּה אֱלֹהֵינוּ. אַתָּה עֲשִׂיתָנוּ.
וְלֹא אֲנַחְנוּ. וּמַעֲשֵׂה יָדְךָ כֻּלָּנוּ:
וְכִי אַתָּה אֲדוֹנֵינוּ וַאֲנַחְנוּ עֲבָדֶיךָ. וְאַתָּה בוֹרְאֵנוּ וַאֲנַחְנוּ עֵדֶיךָ:</t>
        </is>
      </c>
      <c r="F498" s="10" t="inlineStr"/>
      <c r="G498" s="11" t="inlineStr">
        <is>
          <t>Keter Malkhut.25</t>
        </is>
      </c>
      <c r="H498" s="8" t="inlineStr">
        <is>
          <t>Mahberet miShire Kodesh, I. Davidson. JPS, Philadelphia, 1923 — Public Domain</t>
        </is>
      </c>
      <c r="I498" s="8" t="inlineStr">
        <is>
          <t>sefaria-keter-malkhut-25</t>
        </is>
      </c>
    </row>
    <row r="499" ht="97" customHeight="1">
      <c r="A499" s="7">
        <f>IF(LEN(TRIM(F499))=0,"Approved","Comment to address")</f>
        <v/>
      </c>
      <c r="B499" s="12" t="inlineStr">
        <is>
          <t>Keter Malkhut</t>
        </is>
      </c>
      <c r="C499" s="12" t="inlineStr">
        <is>
          <t>source</t>
        </is>
      </c>
      <c r="D499" s="12" t="inlineStr">
        <is>
          <t>Requires Edition Specific Identification</t>
        </is>
      </c>
      <c r="E499" s="13" t="inlineStr">
        <is>
          <t>מִי יָבֹא עַד תְּכוּנָתֶךָ. בְּהַגְבִּיהֲךָ לְמַעְלָה מִגַּלְגַּל הַשֵּׂכֶל כִּסֵּא הַכָּבוֹד אֲשֶׁר שָׁם נְוֵה הַחֶבְיוֹן וְהַהוֹד.
וְשָׁם הַסּוֹד וְהַיְסוֹד. וְעָדָיו יַגִּיעַ הַשֵּׂכֶל וְשָׁם יַעֲמֹד:
וּמִלְמַעְלָה גָאִיתָ וְעָלִיתָ עַל כֵּס תַּעֲצוּמָךְ. וְאִישׁ לֹא יַעֲלֶה עִמָּךְ:</t>
        </is>
      </c>
      <c r="F499" s="10" t="inlineStr"/>
      <c r="G499" s="14" t="inlineStr">
        <is>
          <t>Keter Malkhut.26</t>
        </is>
      </c>
      <c r="H499" s="12" t="inlineStr">
        <is>
          <t>Mahberet miShire Kodesh, I. Davidson. JPS, Philadelphia, 1923 — Public Domain</t>
        </is>
      </c>
      <c r="I499" s="12" t="inlineStr">
        <is>
          <t>sefaria-keter-malkhut-26</t>
        </is>
      </c>
    </row>
    <row r="500" ht="216" customHeight="1">
      <c r="A500" s="7">
        <f>IF(LEN(TRIM(F500))=0,"Approved","Comment to address")</f>
        <v/>
      </c>
      <c r="B500" s="8" t="inlineStr">
        <is>
          <t>Keter Malkhut</t>
        </is>
      </c>
      <c r="C500" s="8" t="inlineStr">
        <is>
          <t>source</t>
        </is>
      </c>
      <c r="D500" s="8" t="inlineStr">
        <is>
          <t>Requires Edition Specific Identification</t>
        </is>
      </c>
      <c r="E500" s="9" t="inlineStr">
        <is>
          <t>מִי יַעֲשֶׂה כְמַעֲשֶׂיךָ. בַּעֲשׂוֹתְךָ תַּחַת כִּסֵּא כְבוֹדֶךָ. מַעֲמָד לְנַפְשׁוֹת חֲסִידֶיךָ:
וְשָׁם נְוֵה הַנְּשָׁמוֹת הַטְּהוֹרוֹת. אֲשֶׁר בִּצְרוֹר הַחַיִּים צְרוּרוֹת:
וַאֲשֶׁר יִיגְעוּ וְיִיעֲפוּ שָׁם יַחֲלִיפוּ כֹחַ.
וְשָׁם יָנוּחוּ יְגִיעֵי כֹחַ. וְאֵלֶּה בְּנֵי נֹחַ:
וּבוֹ נֹעַם בְּלִי תַכְלִית וְקִצְבָה. וְהוּא הָעוֹלָם הַבָּא:
וְשָׁם מַעֲמָדוֹת וּמַרְאוֹת. לַנְּפָשׁוֹת הָעוֹמְדוֹת בְּמַרְאוֹת הַצּוֹבְאוֹת.
אֶת פְּנֵי הָאָדוֹן לִרְאוֹת וּלְהֵרָאוֹת:
שׁוֹכְנוֹת בְּהֵיכְלֵי מֶלֶךְ. וְעוֹמְדוֹת עַל שֻׁלְחַן הַמֶּלֶךְ.
וּמִתְעַדְּנוֹת בְּמֶתֶק פְּרִי הַשֵּׂכֶל וְהוּא יִתֵּן מַעֲדַנֵּי מֶלֶךְ:
זֹאת הַמְּנוּחָה וְהַנַּחֲלָה. אֲשֶׁר אֵין תַּכְלִית לְטוּבָהּ וְיָפְיָהּ. וְגַם זָבַת חָלָב וּדְבַשׁ הִיא וְזֶה פִּרְיָהּ:</t>
        </is>
      </c>
      <c r="F500" s="10" t="inlineStr"/>
      <c r="G500" s="11" t="inlineStr">
        <is>
          <t>Keter Malkhut.27</t>
        </is>
      </c>
      <c r="H500" s="8" t="inlineStr">
        <is>
          <t>Mahberet miShire Kodesh, I. Davidson. JPS, Philadelphia, 1923 — Public Domain</t>
        </is>
      </c>
      <c r="I500" s="8" t="inlineStr">
        <is>
          <t>sefaria-keter-malkhut-27</t>
        </is>
      </c>
    </row>
    <row r="501" ht="199" customHeight="1">
      <c r="A501" s="7">
        <f>IF(LEN(TRIM(F501))=0,"Approved","Comment to address")</f>
        <v/>
      </c>
      <c r="B501" s="12" t="inlineStr">
        <is>
          <t>Keter Malkhut</t>
        </is>
      </c>
      <c r="C501" s="12" t="inlineStr">
        <is>
          <t>source</t>
        </is>
      </c>
      <c r="D501" s="12" t="inlineStr">
        <is>
          <t>Requires Edition Specific Identification</t>
        </is>
      </c>
      <c r="E501" s="13" t="inlineStr">
        <is>
          <t>מִי יְגַלֶּה צְפוּנוֹתֶיךָ בַּעֲשׂוֹתְךָ בַּמָּרוֹם חֲדָרִים וְאוֹצָרוֹת. מֵהֶם נוֹרָאוֹת סְפוּרוֹת. וּדְבַר גְּבוּרוֹת:
מֵהֶם אוֹצְרוֹת חַיִּים. לְזַכִּים וּנְקִיִּים:
וּמֵהֶם אוֹצְרוֹת יֶשַׁע. לְשָׁבֵי פֶשַׁע:
וּמֵהֶם אוֹצְרוֹת אֵשׁ וְנַחֲלֵי גָּפְרִית. לְעוֹבְרֵי בְרִית:
וְאוֹצְרוֹת שׁוּחוֹת עֲמוּקוֹת לֹא יִכְבֶּה אִשָּׁם. זְעוּם יְיָ יִפָּל שָׁם:
וְאוֹצְרוֹת סוּפוֹת וּסְעָרוֹת. וְקִפָּאוֹן וִיקָרוֹת:
וְאוֹצְרוֹת בָּרָד וְקֶרַח וְצִיָּה וָשֶׁלֶג. גַּם חֹם וְנוֹזְלֵי פֶלֶג:
וְקִיטוֹר וּכְפוֹר וְעָנָן וַעֲרָפֶל. וַעֲלָטָה וָאֹפֶל:
הַכֹּל הֲכִינוֹתָ בְּעִתּוֹ אִם לְחֶסֶד אִם לְמִשְׁפָּט שַׂמְתּוֹ.
וְצוּר לְהוֹכִיחַ יְסַדְתּוֹ:</t>
        </is>
      </c>
      <c r="F501" s="10" t="inlineStr"/>
      <c r="G501" s="14" t="inlineStr">
        <is>
          <t>Keter Malkhut.28</t>
        </is>
      </c>
      <c r="H501" s="12" t="inlineStr">
        <is>
          <t>Mahberet miShire Kodesh, I. Davidson. JPS, Philadelphia, 1923 — Public Domain</t>
        </is>
      </c>
      <c r="I501" s="12" t="inlineStr">
        <is>
          <t>sefaria-keter-malkhut-28</t>
        </is>
      </c>
    </row>
    <row r="502" ht="165" customHeight="1">
      <c r="A502" s="7">
        <f>IF(LEN(TRIM(F502))=0,"Approved","Comment to address")</f>
        <v/>
      </c>
      <c r="B502" s="8" t="inlineStr">
        <is>
          <t>Keter Malkhut</t>
        </is>
      </c>
      <c r="C502" s="8" t="inlineStr">
        <is>
          <t>source</t>
        </is>
      </c>
      <c r="D502" s="8" t="inlineStr">
        <is>
          <t>Requires Edition Specific Identification</t>
        </is>
      </c>
      <c r="E502" s="9" t="inlineStr">
        <is>
          <t>מִי יָכִיל עָצְמָתֶךָ בְּבָרְאֲךָ מִזִּיו כְּבוֹדְךָ יִפְעַת טְהוֹרָה. מִצּוּר הַצּוּר נִגְזָרָה. וּמִמַּקֶּבֶת בּוֹר נֻקָּרָה:
וְאָצַלְתָּ עָלֶיהָ רוּחַ חָכְמָה. וְקָרָאתָ אוֹתָהּ נְשָׁמָה:
עֲשִׂיתָהּ מִלַּהֲבוֹת אֵשׁ הַשֵּׂכֶל חֲצוּבָה. וְנִשְׁמָתוֹ כָּאֵשׁ בּוֹעֲרָה בָהּ:
שִׁלַּחְתָּהּ אֶל הַגּוּף לְעָבְדוֹ וּלְשָׁמְרֵהוּ. וְהִיא כָּאֵשׁ בְּתוֹכוֹ וְלֹא תִשְׂרְפֵהוּ.
כִּי מֵאֵשׁ הַנְּשָׁמָה נִבְרָא הַגּוּף וְיָצָא מֵאַיִן לַיֵּשׁ. מִפְּנֵי אֲשֶׁר יָרַד עָלָיו יְיָ בָּאֵשׁ:</t>
        </is>
      </c>
      <c r="F502" s="10" t="inlineStr"/>
      <c r="G502" s="11" t="inlineStr">
        <is>
          <t>Keter Malkhut.29</t>
        </is>
      </c>
      <c r="H502" s="8" t="inlineStr">
        <is>
          <t>Mahberet miShire Kodesh, I. Davidson. JPS, Philadelphia, 1923 — Public Domain</t>
        </is>
      </c>
      <c r="I502" s="8" t="inlineStr">
        <is>
          <t>sefaria-keter-malkhut-29</t>
        </is>
      </c>
    </row>
    <row r="503" ht="199" customHeight="1">
      <c r="A503" s="7">
        <f>IF(LEN(TRIM(F503))=0,"Approved","Comment to address")</f>
        <v/>
      </c>
      <c r="B503" s="12" t="inlineStr">
        <is>
          <t>Keter Malkhut</t>
        </is>
      </c>
      <c r="C503" s="12" t="inlineStr">
        <is>
          <t>source</t>
        </is>
      </c>
      <c r="D503" s="12" t="inlineStr">
        <is>
          <t>Requires Edition Specific Identification</t>
        </is>
      </c>
      <c r="E503" s="13" t="inlineStr">
        <is>
          <t>מִי יַגִּיעַ לְחָכְמָתֶךָ בְּתִתְּךָ לַנֶּפֶשׁ כֹּחַ הַדַּעַת אֲשֶׁר בָּהּ תְּקוּעָה.
וַיְהִי הַמַּדָּע יְסוֹדָהּ.
וְעַל כֵּן לֹא יִשְׁלוֹט עָלֶיהָ כִּלָּיוֹן וְתִתְקַיֵּם כְּפִי קִיּוּם יְסוֹדָהּ. וְזֶה עִנְיָנָהּ וְסוֹדָהּ:
וְהַנֶּפֶשׁ הַחֲכָמָה לֹא תִרְאֶה מָוֶת. אַךְ תְּקַבֵּל עַל עֲוֹנָהּ עֹנֶשׁ מַר מִמָּוֶת:
וְאִם טָהֳרָה תָּפִיק רָצוֹן. וַתִּשְׂחַק לְיוֹם אַחֲרוֹן.
וְאִם נִטְמְאָה תָּנוּד בְּשֶׁצֶף קֶצֶף וְחָרוֹן:
וְכָל יְמֵי טֻמְאָתָהּ בָּדָד תֵּשֵׁב גּוֹלָה וְסוּרָה.
בְּכָל קֹדֶשׁ לֹא תִגָּע וְאֶל הַמִּקְדָּשׁ לֹא תָבֹא עַד מְלֹאת יְמֵי טָהֳרָהּ:</t>
        </is>
      </c>
      <c r="F503" s="10" t="inlineStr"/>
      <c r="G503" s="14" t="inlineStr">
        <is>
          <t>Keter Malkhut.30</t>
        </is>
      </c>
      <c r="H503" s="12" t="inlineStr">
        <is>
          <t>Mahberet miShire Kodesh, I. Davidson. JPS, Philadelphia, 1923 — Public Domain</t>
        </is>
      </c>
      <c r="I503" s="12" t="inlineStr">
        <is>
          <t>sefaria-keter-malkhut-30</t>
        </is>
      </c>
    </row>
    <row r="504" ht="148" customHeight="1">
      <c r="A504" s="7">
        <f>IF(LEN(TRIM(F504))=0,"Approved","Comment to address")</f>
        <v/>
      </c>
      <c r="B504" s="8" t="inlineStr">
        <is>
          <t>Keter Malkhut</t>
        </is>
      </c>
      <c r="C504" s="8" t="inlineStr">
        <is>
          <t>source</t>
        </is>
      </c>
      <c r="D504" s="8" t="inlineStr">
        <is>
          <t>Requires Edition Specific Identification</t>
        </is>
      </c>
      <c r="E504" s="9" t="inlineStr">
        <is>
          <t>מִי יִגְמֹל עַל טוֹבוֹתֶיךָ בְּשׂוּמְךָ הַנְּשָׁמָה לַגּוּף לְהַחֲיוֹתוֹ. וְאֹרַח לְהוֹרוֹתוֹ לְהַרְאוֹתוֹ.
לְהַצִּיל לוֹ מֵרָעָתוֹ:
קֵרַצְתּוֹ מֵאֲדָמָה. וְנָפַחְתָּ בּוֹ נְשָׁמָה.
וְאָצַלְתָּ עָלָיו רוּחַ חָכְמָה. אֲשֶׁר בָּהּ יִבָּדֵל מִבְּהֵמָה. וְיַעֲלֶה אֶל מַעֲלָה רָמָה:
שַׂמְתּוֹ בְּעוֹלָמְךָ סָגוּר וְאַתָּה מִחוּץ תָּכִין מַעֲשָׂיו וְתִרְאֶנּוּ.
וְכָל אֲשֶׁר מִמְּךָ יַעְלִימֶנּוּ. מִבַּיִת וּמִחוּץ תְּצַפֶּנּוּ:</t>
        </is>
      </c>
      <c r="F504" s="10" t="inlineStr"/>
      <c r="G504" s="11" t="inlineStr">
        <is>
          <t>Keter Malkhut.31</t>
        </is>
      </c>
      <c r="H504" s="8" t="inlineStr">
        <is>
          <t>Mahberet miShire Kodesh, I. Davidson. JPS, Philadelphia, 1923 — Public Domain</t>
        </is>
      </c>
      <c r="I504" s="8" t="inlineStr">
        <is>
          <t>sefaria-keter-malkhut-31</t>
        </is>
      </c>
    </row>
    <row r="505" ht="369" customHeight="1">
      <c r="A505" s="7">
        <f>IF(LEN(TRIM(F505))=0,"Approved","Comment to address")</f>
        <v/>
      </c>
      <c r="B505" s="12" t="inlineStr">
        <is>
          <t>Keter Malkhut</t>
        </is>
      </c>
      <c r="C505" s="12" t="inlineStr">
        <is>
          <t>source</t>
        </is>
      </c>
      <c r="D505" s="12" t="inlineStr">
        <is>
          <t>Requires Edition Specific Identification</t>
        </is>
      </c>
      <c r="E505" s="13" t="inlineStr">
        <is>
          <t>מִי יוֹדֵעַ סוֹד מִפְעֲלוֹתֶיךָ.
בַּעֲשׂוֹתְךָ לַגּוּף צָרְכֵי פְעֻלּוֹתֶיךָ.
וְנָתַתָּ לוֹ עֵינַיִם לִרְאוֹת אוֹתוֹתֶיךָ.
וְאָזְנַיִם לִשְׁמֹעַ נוֹרְאוֹתֶיךָ.
וְרַעְיוֹן לְהָבִין קְצַת סוֹדוֹתֶיךָ.
וּפֶה לְסַפֵּר תְּהִלָּתֶךָ.
וְלָשׁוֹן לְהַגִּיד לְכָל יָבוֹא גְּבוּרָתֶךָ.
כָּמוֹנִי הַיּוֹם אֲנִי עַבְדְּךָ בֶּן אֲמָתֶךָ.
הַמְסַפֵּר כְּפִי קֹצֶר לְשׁוֹנִי מְעַט מִזְעָר מֵרוֹמְמוּתֶךָ.
וְהֵן אֵלֶּה קְצוֹת דְּרָכֶיךָ:
וּמֶה עָצְמוּ רָאשֵׁיהֶם. כִּי חַיִּים הֵם לְמֹצְאֵיהֶם:
בָּהֶם יוּכְלוּ כָל שׁוֹמְעֵיהֶם לְהַכִּירֶךָ.
וְאִם לֹא רָאוּ פְּנֵי יְקָרֶךָ.
וְכָל אֲשֶׁר לֹא יִשְׁמַע גְּבוּרָתֶךָ.
אֵיךְ יַכִּיר אֱלָהוּתֶךָ.
וְאֵיךְ תָּבֹא בְלִבּוֹ אֲמִתּוּתֶךָ.
וִיכַוֵּן רַעְיוֹנָיו לַעֲבוֹדָתֶךָ.
עַל כֵּן מָצָא עַבְדְּךָ אֶת לִבּוֹ לִזְכּוֹר לִפְנֵי אֱלֹהָיו. מְעַט מִזְעָר מֵרָאשֵׁי תְהִלּוֹתָיו:
אוּלַי בָּם מֵעֲוֹנוֹ יַשֶּׁה. וּבַמֶּה יִתְרַצֶּה זֶה אֶל אֲדוֹנָיו הֲלֹא בְרָאשֵׁי:</t>
        </is>
      </c>
      <c r="F505" s="10" t="inlineStr"/>
      <c r="G505" s="14" t="inlineStr">
        <is>
          <t>Keter Malkhut.32</t>
        </is>
      </c>
      <c r="H505" s="12" t="inlineStr">
        <is>
          <t>Mahberet miShire Kodesh, I. Davidson. JPS, Philadelphia, 1923 — Public Domain</t>
        </is>
      </c>
      <c r="I505" s="12" t="inlineStr">
        <is>
          <t>sefaria-keter-malkhut-32</t>
        </is>
      </c>
    </row>
    <row r="506" ht="386" customHeight="1">
      <c r="A506" s="7">
        <f>IF(LEN(TRIM(F506))=0,"Approved","Comment to address")</f>
        <v/>
      </c>
      <c r="B506" s="8" t="inlineStr">
        <is>
          <t>Keter Malkhut</t>
        </is>
      </c>
      <c r="C506" s="8" t="inlineStr">
        <is>
          <t>source</t>
        </is>
      </c>
      <c r="D506" s="8" t="inlineStr">
        <is>
          <t>Requires Edition Specific Identification</t>
        </is>
      </c>
      <c r="E506" s="9" t="inlineStr">
        <is>
          <t>אֱלֹהַי בֹּשְׁתִּי וְנִכְלַמְתִּי לַעֲמֹד לְפָנֶיךָ לְדַעְתִּי.
כִּי כְפִי עָצְמַת גְּדֻלָתֶךָ כֵּן תַּכְלִית דַּלּוּתִי וְשִׁפְלוּתִי:
וּכְפִי תֹּקֶף יְכָלְתֶּךָ כֵּן חֻלְשַׁת יְכָלְתִּי.
וּכְפִי שְׁלֵמוּתְךָ כֵּן חֶסְרוֹנִי:
כִּי אַתָּה אֶחָד וְאַתָּה חַי וְאַתָּה גִּבּוֹר וְאַתָּה קַיָּם וְאַתָּה גָדוֹל וְאַתָּה חָכָם וְאַתָּה אֱלוֹהַּ:
וַאֲנִי גוּשׁ וְרִמָּה. עָפָר מִן הָאֲדָמָה.
כְּלִי מָלֵא כְלִמָּה. אֶבֶן דּוּמָה:
צֵל עוֹבֵר רוּחַ הוֹלֵךְ וְלֹא יָשׁוּב. חֲמַת עַכְשׁוּב:
עָקוֹב הַלֵּב. עֲרַל לֵב:
גְּדָל חֵמָה. חֹרֵשׁ אָוֶן וּמִרְמָה:
גְּבַהּ עֵינַיִם. קְצַר אַפַּיִם. טְמֵא שְׂפָתַיִם.
נֶעֱקַשׁ דְּרָכַיִם. וְאָץ בְּרַגְלָיִם:
מָה אֲנִי מֶה חַיַּי וּמַה גְּבוּרָתִי. וּמַה צִדְקָתִי.
נֶחְשָׁב לְאַיִן כָּל יְמֵי הֱיוֹתִי. וְאַף כִּי אַחֲרֵי מוֹתִי:
מֵאַיִן מוֹצָאִי וּלְאַיִן מוֹבָאִי:
וְהִנֵּה בָאתִי לְפָנֶיךָ אֲשֶׁר לֹא כַדָּת בְּעַזּוּת מֵצַח וְטֻמְאַת רַעְיוֹנִים.
וְיֵצֶר זוֹנֶה. לְגִלּוּלָיו פּוֹנֶה:
וְתַאֲוָה מִתְגַּבְּרָה. וְנֶפֶשׁ לֹא מְטֹהָרָה:
וְלֵב טָמֵא. אוֹבֵד וְנִדְמֶה:
וְגוּף נָגוּף. מְלֹא אֲסַפְסוּף. יוֹסִיף וְלֹא יָסוּף:</t>
        </is>
      </c>
      <c r="F506" s="10" t="inlineStr"/>
      <c r="G506" s="11" t="inlineStr">
        <is>
          <t>Keter Malkhut.33</t>
        </is>
      </c>
      <c r="H506" s="8" t="inlineStr">
        <is>
          <t>Mahberet miShire Kodesh, I. Davidson. JPS, Philadelphia, 1923 — Public Domain</t>
        </is>
      </c>
      <c r="I506" s="8" t="inlineStr">
        <is>
          <t>sefaria-keter-malkhut-33</t>
        </is>
      </c>
    </row>
    <row r="507" ht="267" customHeight="1">
      <c r="A507" s="7">
        <f>IF(LEN(TRIM(F507))=0,"Approved","Comment to address")</f>
        <v/>
      </c>
      <c r="B507" s="12" t="inlineStr">
        <is>
          <t>Keter Malkhut</t>
        </is>
      </c>
      <c r="C507" s="12" t="inlineStr">
        <is>
          <t>source</t>
        </is>
      </c>
      <c r="D507" s="12" t="inlineStr">
        <is>
          <t>Requires Edition Specific Identification</t>
        </is>
      </c>
      <c r="E507" s="13" t="inlineStr">
        <is>
          <t>אֱלֹהַי יָדַעְתִּי כִּי עֲוֹנוֹתַי עָצְמוּ מִסַּפֵּר. וְאַשְׁמוֹתַי עָצְמוּ מִלִּזְכֹּר:
אַךְ אֶזְכֹּר מֵהֶם כְּטִפָּה מִן הַיָּם. וְאֶתְוַדֶּה בָּהֶם אוּלַי אַשְׁבִּיחַ שְׁאוֹן גַּלֵּיהֶם וְדָכְיָם:
וְאַתָּה תִּשְׁמַע הַשָּׁמַיִם וְסָלַחְתָּ:
אָשַׁמְתִּי בְּתוֹרָתֶךָ. בָּזִיתִי בְּמִצְוֹתֶיךָ.
גָּעַלְתִּי בְּלִבִּי וּבְמוֹ פִי. דִּבַּרְתִּי דֹּפִי.
הֶעֱוִיתִי. וְהִרְשַׁעְתִּי. זַדְתִּי. חָמַסְתִּי. טָפַלְתִּי שֶׁקֶר. יָעַצְתִּי רַע לְאֵין חֵקֶר.
כִּזַּבְתִּי. לַצְתִּי. מָרַדְתִּי. נִאַצְתִּי. סָרַרְתִּי. עָוִיתִי. פָּשַׁעְתִּי וְעֹרֶף הִקְשֵׁיתִי.
קַצְתִּי בְּתוֹכְחוֹתֶיךָ. רָשַׁעְתִּי.
שִׁחַתִּי דְּרָכַי. תָּעִיתִי מִמַּהֲלָכַי.
עָבַרְתִּי מִמִּצְוֹתֶיךָ וְסַרְתִּי. וְאַתָּה צַדִּיק עַל כָּל הַבָּא עָלַי כִּי אֱמֶת עָשִׂיתָ וַאֲנִי הִרְשָׁעְתִּי:</t>
        </is>
      </c>
      <c r="F507" s="10" t="inlineStr"/>
      <c r="G507" s="14" t="inlineStr">
        <is>
          <t>Keter Malkhut.34</t>
        </is>
      </c>
      <c r="H507" s="12" t="inlineStr">
        <is>
          <t>Mahberet miShire Kodesh, I. Davidson. JPS, Philadelphia, 1923 — Public Domain</t>
        </is>
      </c>
      <c r="I507" s="12" t="inlineStr">
        <is>
          <t>sefaria-keter-malkhut-34</t>
        </is>
      </c>
    </row>
    <row r="508" ht="409" customHeight="1">
      <c r="A508" s="7">
        <f>IF(LEN(TRIM(F508))=0,"Approved","Comment to address")</f>
        <v/>
      </c>
      <c r="B508" s="8" t="inlineStr">
        <is>
          <t>Keter Malkhut</t>
        </is>
      </c>
      <c r="C508" s="8" t="inlineStr">
        <is>
          <t>source</t>
        </is>
      </c>
      <c r="D508" s="8" t="inlineStr">
        <is>
          <t>Requires Edition Specific Identification</t>
        </is>
      </c>
      <c r="E508" s="9" t="inlineStr">
        <is>
          <t>אֱלֹהַי נָפְלוּ פָנַי בְּזָכְרִי כָּל אֲשֶׁר הִכְעַסְתִּיךָ. כִּי עַל כָּל טוֹבוֹת שֶׁגְּמַלְתַּנִי רָעָה גְּמַלְתִּיךָ:
כִּי בְרָאתַנִי לֹא לְצֹרֶךְ רַק נְדָבָה. וְלֹא בְּהֶכְרֵחַ כִּי אִם בְּרָצוֹן וְאַהֲבָה:
וְטֶרֶם הֱיוֹתִי בְּחַסְדְּךָ קִדַּמְתַּנִי. וְנָפַחְתָּ רוּחַ בִּי וְהֶחֱיִיתַנִי.
וְאַחֲרֵי צֵאתִי לְאַוֵּר הָעוֹלָם לֹא עֲזַבְתָּנִי. אֲבָל כְּאָב חוֹמֵל גִּדַּלְתָּנִי.
וּכְאוֹמֵן אֶת הַיּוֹנֵק אֲמַנְתַּנִי. עַל שְׁדֵי אִמִּי הִבְטַחְתַּנִי.
וּמִנְּעִימוֹתֶיךָ הִשְׂבַּעְתַּנִי. וּבְבֹאִי לַעֲמֹד עַל עָמְדִי חִזַקְתָּנִי.
וְקַחְתַּנִי עַל זְרוֹעוֹתֶיךָ וְהִרְגַלְתַּנִי. וְחָכְמָה וּמוּסָר לִמַּדְתָּנִי.
וּמִכָּל צָרָה וְצוּקָה חִלַּצְתַּנִי. וּבְעֵת עֲבָר זַעַם בְּצֵל יָדְךָ הִסְתַּרְתָּנִי.
וְכַמֶּה צָרוֹת נֶעְלְמוּ מֵעֵינַי וּמֵהֶם גְּאַלְתָּנִי. וּבְטֶרֶם בּוֹא הַתְּלָאָה הִקְדַּמְתָּ רְפוּאָה לְמַכָּתִי וְלֹא הוֹדַעְתַּנִי.
וּבְעֵת לֹא נִשְׁמַרְתִּי מִכָּל נֵזֶק אַתָּה שְׁמַרְתָּנִי. וּבְבוֹאִי בֵּין שִׁנֵּי אֲרָיוֹת שִׁבַּרְתָּ מַלְתְּעוֹת כְּפִירִים וּמִשָּׁם הוֹצֵאתַנִי.
וּבְחוּל עָלַי חֳלָיִים רָעִים וְנֶאֱמָנִים חִנָּם רִפֵּאתַנִי. וּבְבוֹא שְׁפָטֶיךָ הָרָעִים עַל הָעוֹלָם מֵחֶרֶב הִצַּלְתַּנִי.
וּמִדֶּבֶר מִלַּטְתָּנִי. וּבְרָעָב זַנְתַּנִי.
וּבְשָׂבָע כִּלְכַּלְתַּנִי.
וּבְהַכְעִיסִי אוֹתְךָ כַּאֲשֶׁר יְיַסֵּר אִישׁ אֶת בְּנוֹ יִסַּרְתַּנִי.
וּבְקָרְאִי מִצָּרָתִי נַפְשִׁי יָקְרָה בְעֵינֶיךָ וְרֵיקָם לֹא הֱשִׁיבוֹתַנִי:
וְעוֹד הִגְדַּלְתָּ וְהוֹסַפְתָּ עַל כָּל זֶה.
בְּתִתְּךָ לִי אֱמוּנָה שְׁלֵמָה לְהַאֲמִין כִּי אַתָּה אֵל אֱמֶת. וְתוֹרָתְךָ אֱמֶת וּנְבִיאֶיךָ אֱמֶת:
וְלֹא נָתַתָּ לִי חֵלֶק עִם מוֹרְדֶיךָ וְקָמֶיךָ. וְעַם נָבָל נִאֲצוּ שְׁמֶךָ:
אֲשֶׁר בְּתוֹרָתְךָ יַלְעִיבוּ. וּבְעוֹבְדֶיךָ יָרִיבוּ.
וּנְבִיאֶיךָ יַכְזִיבוּ:
מַרְאִים תֻּמָּה. וְתַחְתֶּיהָ עָרְמָה:
מַרְאִים נֶפֶשׁ זַכָּה וְנִטְהֶרֶת. וְתַחְתֶּיהָ תַּעֲמֹד הַבַּהֶרֶת:
כִּכְלִי מָלֵא כְלִמָּה. רָחוּץ מִחוּץ בְּמֵי עָרְמָה.
וְכָל אֲשֶׁר בְּתוֹכוֹ יִטְמָא:</t>
        </is>
      </c>
      <c r="F508" s="10" t="inlineStr"/>
      <c r="G508" s="11" t="inlineStr">
        <is>
          <t>Keter Malkhut.35</t>
        </is>
      </c>
      <c r="H508" s="8" t="inlineStr">
        <is>
          <t>Mahberet miShire Kodesh, I. Davidson. JPS, Philadelphia, 1923 — Public Domain</t>
        </is>
      </c>
      <c r="I508" s="8" t="inlineStr">
        <is>
          <t>sefaria-keter-malkhut-35</t>
        </is>
      </c>
    </row>
    <row r="509" ht="403" customHeight="1">
      <c r="A509" s="7">
        <f>IF(LEN(TRIM(F509))=0,"Approved","Comment to address")</f>
        <v/>
      </c>
      <c r="B509" s="12" t="inlineStr">
        <is>
          <t>Keter Malkhut</t>
        </is>
      </c>
      <c r="C509" s="12" t="inlineStr">
        <is>
          <t>source</t>
        </is>
      </c>
      <c r="D509" s="12" t="inlineStr">
        <is>
          <t>Requires Edition Specific Identification</t>
        </is>
      </c>
      <c r="E509" s="13" t="inlineStr">
        <is>
          <t>קָטֹנְתִּי מִכֹּל הַחֲסָדִים וּמִכָּל הָאֱמֶת אֲשֶׁר עָשִׂיתָ אֶת עַבְדֶּךָ. אָמְנָם יְיָ אֱלֹהַי אוֹדֶךָּ:
כִּי נָתַתָּ בִּי נֶפֶשׁ קְדוֹשָׁה וּבְמַעֲשַׂי טִמֵּאתִיהָ.
וּבְיִצְרִי הָרַע חִלַּלְתִּיהָ וּגְעַלְתִּיהָ:
אַךְ יָדַעְתִּי. כִּי אִם הִרְשַׁעְתִּי.
לֹא לָךְ רַק לְעַצְמִי הֲרֵעוֹתִי.
אֲבָל יִצְרִי הָאַכְזָר נִצָּב עַל יְמִינִי לְשִטְנִי.
לֹא יִתְּנֵנִי הָשֵׁב רוּחִי. וּלְהָכִין מְנוּחִי.
וְזֶה כַּמָּה לַהֲבִיאוֹ בְּכֶפֶל רִסְנִי חָשַׁבְתִּי. וְחָתַרְתִּי לַהֲשִׁיבוֹ מִיַּם הַתַּאֲווֹת אֶל הַיַּבָּשָׁה וְלֹא יָכֹלְתִּי.
הֵנִיא מַחְשְׁבוֹתַי. וְחִלֵּל מוֹצָא שְׂפָתַי.
אֲנִי חוֹשֵׁב מַחְשְׁבוֹת תֻּמָּה. וְהוּא חוֹרֵשׁ אָוֶן וּמִרְמָה.
אֲנִי לְשָלוֹם וְהוּא לְמִלְחָמָה.
עַד שָׂמַנִי לְרַגְלָיו הֲדוֹם. וַיָּשֶׂם דְּמֵי מִלְחָמָה בְשָׁלוֹם.
וְכַמָּה פְעָמִים יָצָאתִי. לְהִלָּחֵם עִמּוֹ וְעָרַכְתִּי.
מַחֲנֶה עֲבוֹדָתִי וּתְשׁוּבָתִי. וְשַׂמְתִּי מַחֲנֵה רַחֲמֶיךָ לְעֻמָּתִי לְעֶזְרָתִי.
כִּי אָמַרְתִּי אִם יָבוֹא יִצְרִי אֶל הַמַּחֲנֶה הָאַחַת וְהִכָּהוּ וְהָיָה הַמַּחֲנֶה הַנִּשְׁאָר לִפְלֵיטָה וְכַאֲשֶׁר חָשַׁבְתִּי כֵּן הָיָה.
וְהִנֵּה גָּבַר עָלַי. וְהֵפִיץ חֲיָלַי.
וְלֹא נִשְׁאַר אֵלַי. כִּי אִם מַחֲנֵה רַחֲמֶיךָ:
אַךְ אֵדַע כִּי בָם אֶתְקְפֶנּוּ. וְיִהְיוּ לִי מֵעִיר לַעֲזֹר אוּלַי אוּכַל נַכֶּה בּוֹ וַאֲגָרְשֶׁנּוּ:</t>
        </is>
      </c>
      <c r="F509" s="10" t="inlineStr"/>
      <c r="G509" s="14" t="inlineStr">
        <is>
          <t>Keter Malkhut.36</t>
        </is>
      </c>
      <c r="H509" s="12" t="inlineStr">
        <is>
          <t>Mahberet miShire Kodesh, I. Davidson. JPS, Philadelphia, 1923 — Public Domain</t>
        </is>
      </c>
      <c r="I509" s="12" t="inlineStr">
        <is>
          <t>sefaria-keter-malkhut-36</t>
        </is>
      </c>
    </row>
    <row r="510" ht="409" customHeight="1">
      <c r="A510" s="7">
        <f>IF(LEN(TRIM(F510))=0,"Approved","Comment to address")</f>
        <v/>
      </c>
      <c r="B510" s="8" t="inlineStr">
        <is>
          <t>Keter Malkhut</t>
        </is>
      </c>
      <c r="C510" s="8" t="inlineStr">
        <is>
          <t>source</t>
        </is>
      </c>
      <c r="D510" s="8" t="inlineStr">
        <is>
          <t>Requires Edition Specific Identification</t>
        </is>
      </c>
      <c r="E510" s="9" t="inlineStr">
        <is>
          <t>יְהִי רָצוֹן מִלְּפָנֶיךָ יְיָ אֱלֹהַי לָכוֹף אֶת יִצְרִי הָאַכְזָרִי וְהַסְתֵּר פָּנֶיךָ מֵחֲטָאַי וּמֵאֲשָׁמָי. אַל תַּעֲלֵנִי בַּחֲצִי יָמָי:
עַד אָכִין צָרְכִּי. לְדַרְכִּי.
וְצֵדָתִי. לְיוֹם נְסִיעָתִי.
כִּי אִם אֵצֵא מֵעוֹלָמְךָ כַּאֲשֶׁר בָּאתִי. וְאָשׁוּב עָרֹם לִמְקוֹמִי כַּאֲשֶׁר יָצָאתִי.
לָמָּה נִבְרֵאתִי. וְלִרְאוֹת עָמָל נִקְרֵאתִי:
טוֹב לִי עוֹד אֲנִי שָׁם. מִצֵּאתִי לְהַגְדִּיל פֶּשַׁע וּלְהַרְבּוֹת אָשָׁם:
אָנָּא הָאֱלֹהִים בְּמִדַּת רַחֲמֶיךָ שָׁפְטֵנִי. אַל בְּאַפְּךָ פֶּן תַּמְעִיטֵנִי:
כִּי מָה הָאָדָם כִּי תְדִינֵהוּ. וְהֶבֶל נִדָּף אֵיךְ בְּמִשְׁקָל תְּבִיאֵהוּ.
וּבַעֲלוֹתוֹ בְּמֹאזְנֵי מִשְׁקָל. לֹא יִכְבַּד וְלֹא יֵקָל. וּמַה יִסְכָּן לְךָ לַעֲשׂוֹת לָרוּחַ מִשְׁקָל:
מִיּוֹם הֱיוֹתוֹ הוּא נִגָּשׂ וְנַעֲנֶה. נָגוּעַ מֻכֶּה אֱלֹהִים וּמְעֻנֶּה:
רֵאשִׁיתוֹ מוֹת נֶהְדָּף. וְאַחֲרִיתוֹ קַשׁ נִדָּף.
וּבְחַיָּיו כְּעֵשֶׂב נִשְׁדָּף. וְהָאֱלֹהִים יְבַקֵּשׁ אֶת נִרְדָּף:
מִיּוֹם צֵאתוֹ מֵרֶחֶם אִמּוֹ. יָגוֹן לֵילוֹ וַאֲנָחָה יוֹמוֹ:
אִם הַיּוֹם יָרוּם. מָחָר תּוֹלָעִים יָרֻם:
הַמּוֹץ יִדְּפֶנּוּ. וְהַקּוֹץ יִגָּפֶנּוּ:
אִם יִשְׂבַּע יִרְשַׁע. וְאִם יִרְעַב עַל פַּת לֶחֶם יִפְשָׁע:
לִרְדֹּף הָעֹשֶׁר קַלּוּ נְשָׁרָיו. וְיִשְׁכַּח הַמָּוֶת וְהוּא אַחֲרָיו:
בְּעֵת הַמֵּצַר יֶרֶב אֲמָרָיו. וְיַחֲלִיק דְּבָרָיו.
וְיַרְבֶּה נְדָרָיו. וּבְצֵאתוֹ לַמֶּרְחָב יַחֵל דְּבָרָיו.
וְיִשְׁכַּח נְדָרָיו. וִיחַזֵּק בְּרִיחֵי שְׁעָרָיו.
וְהַמָּוֶת בַּחֲדָרָיו:
וְיַרְבֶּה שׁוֹמְרִים מִכָּל עֵבֶר. וְהָאוֹרֵב יוֹשֵׁב לוֹ בַּחֶדֶר.
וְהַזְּאֵב לֹא יַעְצְרֶנּוּ גָּדֵר. מִבֹּא אֶל הָעֵדֶר:
בָּא וְלֹא יֵדַע לָמָּה. וְיִשְׂמַח וְלֹא יֵדַע בַּמָּה. וִיחִי וְלֹא יֵדַע כַּמָּה:
בְּיַלְדוּתוֹ. הוֹלֵךְ בִּשְׁרִירוּתוֹ.
וְכַאֲשֶׁר תָּחֵל רוּחַ יְיָ לְפַעֲמוֹ. יִתְעוֹרֵר לֶאֱסֹף חַיִל וָהוֹן וְיִסַּע מִמְּקוֹמוֹ.
לִרְכֹּב אֳנִיּוֹת. וְלִרְדֹּף בַּצִּיּוֹת.
וּלְהָבִיא נַפְשׁוֹ בִּמְעוֹנוֹת אֲרָיוֹת. וְהִיא מִתְהַלֶּכֶת בֵּין הַחַיּוֹת:
וּבְחָשְׁבוֹ כִּי רַב הוֹדוֹ. וְכִי כַבִּיר מָצְאָה יָדוֹ:
בַּשָּׁלוֹם שׁוֹדֵד יְבוֹאֶנּוּ. וְעֵינָיו פָּקַח וְאֵינֶנּוּ:
בְּכָל עֵת הוּא מְזֻמָּן לַתְּלָאוֹת. חוֹלְפוֹת וּבָאוֹת.
וּבְכָל שָׁעוֹת מְאֹרָעוֹת:
בְּכָל הָרְגָעִים. לִפְגָעִים.
וּבְכָל הַיָּמִים. עָלָיו אֵימִים:
אִם רֶגַע יַעֲמֹד בְּשַׁלְוָה. פֶּתַע תְּבוֹאֵהוּ הֹוָה:
אוֹ בְּמִלְחָמָה יָבֹא וְחֶרֶב תִּגָּפֵהוּ. אוֹ קֶשֶׁת נְחוּשָׁה תַּחְלְפֵהוּ:
אוֹ יַקִּיפוּהוּ יְגוֹנִים. יִשְׁטְפוּהוּ מַיִם זֵידוֹנִים.
אוֹ יִמְצָאוּהוּ חֳלָיִים רָעִים וְנֶאֱמָנִים:
עַד יִהְיֶה לְמַשָּׂא עַל נַפְשׁוֹ. וְיִמְצָא מְרוֹרַת פְּתָנִים בְּדִבְשׁוֹ:
וּבְעֵת כְּאֵבוֹ יִגְדַּל. שִׂכְלוֹ יִדַּל:
וּנְעָרִים יִתְקַלְּסוּ בוֹ. וְתַעֲלוּלִים יִמְשְׁלוּ בוֹ:
וְיִהְיֶה לְטֹרַח עַל יוֹצְאֵי מֵעָיו. וְיִתְנַכְּרוּ לוֹ כָּל יוֹדְעָיו:
וּבְבֹא עִתּוֹ יֵצֵא מֵחֲצֵרָיו לַחֲצַר מָוֶת. וּמִצֵּל חֲדָרָיו לְצַלְמָוֶת:
וְיִפְשַׁט רִקְמָה וְתוֹלָע. וְיִלְבַּשׁ רִמָּה וְתוֹלָע:
וְלֶעָפָר יִשְׁכַּב. וְיָשׁוּב אֶל יְסוֹדוֹ אֲשֶׁר מִמֶּנּוּ חֻצָּב:
וּלְאִישׁ אֲשֶׁר אֵלֶּה לוֹ מָתַי יִמְצָא עֵת תְּשׁוּבָה. לִרְחֹץ חֶלְאַת מְשׁוּבָה.
וְהַיּוֹם קָצֵר וְהַמְּלָאכָה מְרֻבָּה:
וְהַנּוֹגְשִׂים אָצִים. חָשִׁים וְרָצִים.
וְהַזְּמַן מִמֶּנּוּ שׂוֹחֵק. וּבַעַל הַבַּיִת דּוֹחֵק:
לָכֵן נָא אֱלֹהַי זְכוֹר אֵלֶּה הַתְּלָאוֹת. אֲשֶׁר עַל אָדָם בָּאוֹת:
וְאִם אֲנִי הֲרֵעוֹתִי. אַתָּה תֵיטִיב אַחֲרִיתִי:
וְאַל תִּגְמֹל מִדָּה בְּמִדָּה. לְאִישׁ אֲשֶׁר עֲוֹנוֹתָיו בְּלִי מִדָּה.
וּבְמוֹתוֹ יֵלֵךְ בְּלִי חֶמְדָּה:</t>
        </is>
      </c>
      <c r="F510" s="10" t="inlineStr"/>
      <c r="G510" s="11" t="inlineStr">
        <is>
          <t>Keter Malkhut.37</t>
        </is>
      </c>
      <c r="H510" s="8" t="inlineStr">
        <is>
          <t>Mahberet miShire Kodesh, I. Davidson. JPS, Philadelphia, 1923 — Public Domain</t>
        </is>
      </c>
      <c r="I510" s="8" t="inlineStr">
        <is>
          <t>sefaria-keter-malkhut-37</t>
        </is>
      </c>
    </row>
    <row r="511" ht="409" customHeight="1">
      <c r="A511" s="7">
        <f>IF(LEN(TRIM(F511))=0,"Approved","Comment to address")</f>
        <v/>
      </c>
      <c r="B511" s="12" t="inlineStr">
        <is>
          <t>Keter Malkhut</t>
        </is>
      </c>
      <c r="C511" s="12" t="inlineStr">
        <is>
          <t>source</t>
        </is>
      </c>
      <c r="D511" s="12" t="inlineStr">
        <is>
          <t>Requires Edition Specific Identification</t>
        </is>
      </c>
      <c r="E511" s="13" t="inlineStr">
        <is>
          <t>אֱלֹהַי אִם עֲוֹנִי מִנְּשׂוֹא גָּדוֹל. מַה תַּעֲשֶׂה לְשִׁמְךָ הַגָּדוֹל:
וְאִם לֹא אוֹחִיל לְרַחֲמֶיךָ. מִי יָחוּס עָלַי חוּץ מִמֶּךָּ:
לָכֵן אִם תִּקְטְלֵנִי לְךָ אֲיַחֵל.
וְאִם תְּבַקֵּשׁ לַעֲוֹנִי אֶבְרַח מִמְּךָ אֵלֶיךָ. וְאֶתְכַּסֶּה מֵחֲמָתְךָ בְּצִלֶּךָ:
וּבְשׁוּלֵי רַחֲמֶיךָ אַחֲזִיק עַד אִם רִחַמְתָּנִי. וְלֹא אֲשַׁלֵּחֲךָ כִּי אִם בֵּרַכְתָּנִי:
זְכָר נָא כִּי כַּחֹמֶר עֲשִׂיתָנִי. וּבְאֵלֶּה הַתְּלָאוֹת נִסִּיתָנִי:
עַל כֵּן לֹא תִפְקֹד עָלַי כְּמַעֲלָלַי. וְאַל תַּאֲכִילֵנִי פְּרִי פָעֳלַי:
וְהַאֲרֶךְ לִי אַפֶּךָ וְאַל תַּקְרִיב יוֹמִי. עַד אָכִין צֵדָה לָשׁוּב אֶל מְקוֹמִי:
וְאַל תַּחֲזִיק עָלַי לְמַהֵר לְשַׁלְּחֵנִי מִן הָאָרֶץ. וּמִשְׁאֲרוֹת אֲשָׁמַי צְרוּרוֹת עַל שִׁכְמִי:
וּבְהַעֲלוֹתְךָ בְּמִשְׁקָל עֲוֹנוֹתַי. שִׂים לְךָ בְּכַף שְׁנִיָּה תְּלָאוֹתַי.
וּבְזָכְרְךָ רִשְׁעִי וּמִרְדִּי. זְכָר עָנְיִי וּמְרוּדִי.
וְשִׂים אֵלֶּה נֹכַח אֵלֶּה:
וּזְכָר נָא אֱלֹהַי כִּי זֶה כַּמֶּה לְאֶרֶץ נוֹד צְנַפְתַּנִי. וּבְכוּר גָּלוּת בְּחַנְתַּנִי.
וּמֵרֹב רִשְׁעִי צְרַפְתַּנִי. וְיָדַעְתִּי כִּי לְטוֹבָתִי נִסִּיתַנִי.
וֶאֱמוּנָה עִנִּיתַנִי.
וּלְהֵיטִיב לִי בְּאַחֲרִיתִי בְּמִבְחַן הַתְּלָאוֹת הֲבֵאתַנִי:
לָכֵן אֱלֹהַי יֶהֱמוּ עָלַי רַחֲמֶיךָ. וְאַל תְּכַלֶּה עָלַי זַעְמֶךָ:
וְאַל תִּגְמְלֵנִי כְּמַעְבָּדַי. וֶאֱמֹר לַמַּלְאָךְ הַמַּשְׁחִית דָּי:
וּמַה מַּעֲלָתִי וְיִתְרוֹנִי. כִּי תְבַקֵּשׁ לַעֲוֹנִי:
וְתָשִׂים עָלַי מִשְׁמָר. וּתְצוּדֵנִי כְּתוֹא מִכְמָר:
הֲלֹא יָמַי חָלַף רֻבָּם וְאֵינָם. וְהַנִּשְׁאָרִים יִמַּקּוּ בַּעֲוֹנָם:
וְאִם הַיּוֹם לְפָנֶיךָ הִנֵּנִי. מָחָר עֵינֶיךָ בִּי וְאֵינֶנִּי:
וְעַתָּה לָמָּה אָמוּת. כִּי תֹאכְלֵנִי הָאֵשׁ הַגְּדוֹלָה הַזֹּאת:
אֱלֹהַי שִׂים עֵינֶיךָ עָלַי לְטוֹבָה לִשְׁאֵרִית יָמַי הַמְּעַטִּים. וְאַל תִּרְדֹּף הַשְּׂרִידִים וְהַפְּלֵטִים:
וְהַפְּלֵטָה הַנִּשְׁאֶרֶת מִבְּרַד מְהוּמוֹתַי. אַל יַחְסְלֶנָּה יֶלֶק אַשְׁמוֹתַי:
כִּי יְצִיר כַּפֶּיךָ אָנִי.
וּמַה יִּסְכָּן לְךָ כִּי רִמָּה תִקָּחֵנִי לְאֹכֶל. יְגִיעַ כַּפֶּיךָ כִּי תֹאכֵל:</t>
        </is>
      </c>
      <c r="F511" s="10" t="inlineStr"/>
      <c r="G511" s="14" t="inlineStr">
        <is>
          <t>Keter Malkhut.38</t>
        </is>
      </c>
      <c r="H511" s="12" t="inlineStr">
        <is>
          <t>Mahberet miShire Kodesh, I. Davidson. JPS, Philadelphia, 1923 — Public Domain</t>
        </is>
      </c>
      <c r="I511" s="12" t="inlineStr">
        <is>
          <t>sefaria-keter-malkhut-38</t>
        </is>
      </c>
    </row>
    <row r="512" ht="250" customHeight="1">
      <c r="A512" s="7">
        <f>IF(LEN(TRIM(F512))=0,"Approved","Comment to address")</f>
        <v/>
      </c>
      <c r="B512" s="8" t="inlineStr">
        <is>
          <t>Keter Malkhut</t>
        </is>
      </c>
      <c r="C512" s="8" t="inlineStr">
        <is>
          <t>source</t>
        </is>
      </c>
      <c r="D512" s="8" t="inlineStr">
        <is>
          <t>Requires Edition Specific Identification</t>
        </is>
      </c>
      <c r="E512" s="9" t="inlineStr">
        <is>
          <t>יְהִי רָצוֹן מִלְּפָנֶיךָ יְיָ אֱלֹהַי לָשׁוּב עָלַי בְּרַחֲמִים. וְלַהֲשִׁיבֵנִי בִּתְשׁוּבָה שְׁלֵמָה לְפָנֶיךָ.
וְלִתְחִנָּתִי תָּכִין לִבִּי וְתַקְשִׁיב אָזְנֶךָ. וְתִפְתַּח לִבִּי בְּתוֹרָתֶךָ.
וְתִטַּע בְּרַעְיוֹנַי יִרְאָתֶךָ:
וְתִגְזֹר עָלַי גְּזֵרוֹת טוֹבוֹת. וּתְבַטֵּל מֵעָלַי גְּזֵרוֹת רָעוֹת:
וְאַל תְּבִיאֵנִי לִידֵי נִסָּיוֹן. וְלֹא לִידֵי בִזָּיוֹן:
וּמִכָּל פְּגָעִים רָעִים הַצִּילֵנִי. וְעַד יַעֲבֹר הַוּוֹת בְּצִלְּךָ תַּסְתִּירֵנִי.
וֶהְיֵה עִם פִּי וְהֶגְיוֹנִי. וּשְׁמוֹר דְּרָכַי מֵחֲטוֹא בִלְשׁוֹנִי:
וְזָכְרֵנִי בְּזִכְרוֹן וּרְצוֹן עַמֶּךָ. וּבְבִנְיַן אוּלָמֶךָ.
לִרְאוֹת בְּטוֹבַת בְּחִירֶךָ. וְזַכֵּנִי לְשַׁחֵר דְּבִירֶךָ.
הַשָּׁמֵם וְהֶחָרֵב. וְלִרְצוֹת אֲבָנָיו וְעַפְרוֹתָיו.
וְרִגְבֵי חָרְבוֹתָיו. וְתִבְנֶה שׁוֹמְמוֹתָיו:</t>
        </is>
      </c>
      <c r="F512" s="10" t="inlineStr"/>
      <c r="G512" s="11" t="inlineStr">
        <is>
          <t>Keter Malkhut.39</t>
        </is>
      </c>
      <c r="H512" s="8" t="inlineStr">
        <is>
          <t>Mahberet miShire Kodesh, I. Davidson. JPS, Philadelphia, 1923 — Public Domain</t>
        </is>
      </c>
      <c r="I512" s="8" t="inlineStr">
        <is>
          <t>sefaria-keter-malkhut-39</t>
        </is>
      </c>
    </row>
    <row r="513" ht="409" customHeight="1">
      <c r="A513" s="7">
        <f>IF(LEN(TRIM(F513))=0,"Approved","Comment to address")</f>
        <v/>
      </c>
      <c r="B513" s="12" t="inlineStr">
        <is>
          <t>Keter Malkhut</t>
        </is>
      </c>
      <c r="C513" s="12" t="inlineStr">
        <is>
          <t>source</t>
        </is>
      </c>
      <c r="D513" s="12" t="inlineStr">
        <is>
          <t>Requires Edition Specific Identification</t>
        </is>
      </c>
      <c r="E513" s="13" t="inlineStr">
        <is>
          <t>אֱלֹהַי יָדַעְתִּי כִּי הַמִּתְחַנְּנִים לְפָנֶיךָ.
יָלִיצוּ עֲלֵיהֶם מַעֲשִׂים טוֹבִים אֲשֶׁר הִקְדִּימוּ. אוֹ צִדְקוֹתֵיהֶם אֲשֶׁר הֵרִימוּ.
וַאֲנִי אֵין בִּי מַעֲשִׂים כִּי אֲנִי נָעוּר וָרֵק. כְּגֶפֶן בּוֹקֵק.
וַאֲנִי אֵין בִּי לֹא צֶדֶק וְלֹא כֹשֶׁר. לֹא חֶסֶד וְלֹא יֹשֶׁר.
לֹא תְפִלָּה וְלֹא תְחִנָּה. לֹא תֻמָּה וְלֹא אֱמוּנָה.
לֹא צֶדֶק וְלֹא מִדָּה טוֹבָה. לֹא עֲבוֹדָה וְלֹא תְשׁוּבָה:
וּבְכֵן יְהִי רָצוֹן מִלְּפָנֶיך יְיָ אֱלֹהֵינוּ וֵאלֹהֵי אֲבוֹתֵינוּ רִבּוֹן כָּל הָעוֹלָמִים לְרַחֵם עָלַי. וְהָיִיתָ קָרוֹב אֵלַי.
לְפָקְדֵנִי בִּפְקֻדַּת רְצוֹנֶךָ. וְלָשֵׂאת אֵלַי אוֹר פָּנֶיךָ.
וּלְהַמְצִיאֵנִי חִנֶּךָ.
וּכְפִי מַעֲשַׂי אַל תִּגְמְלֵנִי. וְחֶרְפַּת נָבָל אַל תְּשִׂימֵנִי .
וּבַחֲצִי יָמַי אַל תַּעֲלֵנִי. וְאַל תַּסְתֵּר פָּנֶיךָ מִמֶּנִּי.
וּמֵחַטֹּאתַי טַהֲרֵנִי. וּמִלְּפָנֶיךָ אַל תַּשְׁלִיכֵנִי.
וּבְכָבוֹד תְּחַיֵּנִי. וְאַחַר כָּבוֹד תִּקָּחֵנִי.
וּבְעֵת מִן הָעוֹלָם תּוֹצִיאֵנִי. לְחַיֵּי הָעוֹלָם הַבָּא בְּשָׁלוֹם תְּבִיאֵנִי.
וְאֶל עָל תִּקְרָאֵנִי. וּבֵין הַחֲסִידִים תּוֹשִׁיבֵנִי.
וְעִם הַמְּנוּיִים בְּחֶלֶד חֶלְקָם בַּחַיִּים תִּמְנֵנִי. וְלֵאוֹר בְּאוֹר פָּנֶיךָ תְּזַכֵּנִי.
וְתָשׁוּב תְּחַיֵּנִי. וּמִתְּהוֹמוֹת הָאָרֶץ תָּשׁוּב וְתַעֲלֵנִי.
וָאֹמַר אוֹדְךָ יְיָ כִּי אָנַפְתָּ בִּי יָשׁוּב אַפְּךָ וּתְנַחֲמֵנִי. וּלְךָ יְיָ חֶסֶד עַל כָּל הַטּוֹבָה אֲשֶׁר גְּמַלְתַּנִי.
וַאֲשֶׁר עַד יוֹם מוֹתִי תִּגְמְלֵנִי. וּבְיִרְאָתְךָ הַטְּהוֹרָה אֵל אֶחָד תְּחַזְּקֵנִי. וּבְתוֹרָתְךָ הַתְּמִימָה תְּאַמְּצֵנִי.
וְעַל כָּל זֶה אֲנִי חַיָּב לְהוֹדוֹת לְהַלֵּל לְפָאֵר וּלְרוֹמֵם אוֹתָךְ.
תִּשְׁתַּבַּח בְּפִי בְרוּאֶיךָ. תִּתְקַדַּשׁ בְּפִי מַקְדִּישֶׁיךָ.
תִּתְיַחֵד בְּפִי מְיַחֲדֶךָ. תִּתְפָּאֵר בְּפִי מְפָאֲרֶיךָ.
תִּתְרוֹמַם בְּפִי מְרוֹמֲמֶיךָ. תִּתְנַשֵּׂא בְּפִי מְנַשְּׂאֶיךָ.
כִּי אֵין כָּמוֹךָ בָּאֱלֹהִים אֲדֹנָי וְאֵין כְּמַעֲשֶׂיךָ:
יִהְיוּ לְרָצוֹן אִמְרֵי פִי וְהֶגְיוֹן לִבִּי לְפָנֶיךָ יְיָ צוּרִי וְגֹאֲלִי:</t>
        </is>
      </c>
      <c r="F513" s="10" t="inlineStr"/>
      <c r="G513" s="14" t="inlineStr">
        <is>
          <t>Keter Malkhut.40</t>
        </is>
      </c>
      <c r="H513" s="12" t="inlineStr">
        <is>
          <t>Mahberet miShire Kodesh, I. Davidson. JPS, Philadelphia, 1923 — Public Domain</t>
        </is>
      </c>
      <c r="I513" s="12" t="inlineStr">
        <is>
          <t>sefaria-keter-malkhut-40</t>
        </is>
      </c>
    </row>
    <row r="514" ht="46" customHeight="1">
      <c r="A514" s="7">
        <f>IF(LEN(TRIM(F514))=0,"Approved","Comment to address")</f>
        <v/>
      </c>
      <c r="B514" s="8" t="inlineStr">
        <is>
          <t>Lekha Dodi</t>
        </is>
      </c>
      <c r="C514" s="8" t="inlineStr">
        <is>
          <t>shabbat</t>
        </is>
      </c>
      <c r="D514" s="8" t="inlineStr">
        <is>
          <t>Requires Edition Specific Identification</t>
        </is>
      </c>
      <c r="E514" s="9" t="inlineStr">
        <is>
          <t>לְכָה דוֹדִי לִקְרַאת כַּלָּה
פְּנֵי שַׁבָּת נְקַבְּלָה</t>
        </is>
      </c>
      <c r="F514" s="10" t="inlineStr"/>
      <c r="G514" s="11" t="inlineStr">
        <is>
          <t>Lekha Dodi.1</t>
        </is>
      </c>
      <c r="H514" s="8" t="inlineStr">
        <is>
          <t>Wikisource — CC-BY-SA</t>
        </is>
      </c>
      <c r="I514" s="8" t="inlineStr">
        <is>
          <t>sefaria-lekha-dodi-1</t>
        </is>
      </c>
    </row>
    <row r="515" ht="80" customHeight="1">
      <c r="A515" s="7">
        <f>IF(LEN(TRIM(F515))=0,"Approved","Comment to address")</f>
        <v/>
      </c>
      <c r="B515" s="12" t="inlineStr">
        <is>
          <t>Lekha Dodi</t>
        </is>
      </c>
      <c r="C515" s="12" t="inlineStr">
        <is>
          <t>shabbat</t>
        </is>
      </c>
      <c r="D515" s="12" t="inlineStr">
        <is>
          <t>Requires Edition Specific Identification</t>
        </is>
      </c>
      <c r="E515" s="13" t="inlineStr">
        <is>
          <t>לִקְרַאת שַׁבָּת לְכוּ וְנֵלְכָה
כִּי הִיא מְקוֹר הַבְּרָכָה
מֵרֹאשׁ מִקֶּדֶם נְסוּכָה
סוֹף מַעֲשֶּׂה בְּמַחֲשָׁבָה תְּחִלָּה</t>
        </is>
      </c>
      <c r="F515" s="10" t="inlineStr"/>
      <c r="G515" s="14" t="inlineStr">
        <is>
          <t>Lekha Dodi.3</t>
        </is>
      </c>
      <c r="H515" s="12" t="inlineStr">
        <is>
          <t>Wikisource — CC-BY-SA</t>
        </is>
      </c>
      <c r="I515" s="12" t="inlineStr">
        <is>
          <t>sefaria-lekha-dodi-3</t>
        </is>
      </c>
    </row>
    <row r="516" ht="80" customHeight="1">
      <c r="A516" s="7">
        <f>IF(LEN(TRIM(F516))=0,"Approved","Comment to address")</f>
        <v/>
      </c>
      <c r="B516" s="8" t="inlineStr">
        <is>
          <t>Lekha Dodi</t>
        </is>
      </c>
      <c r="C516" s="8" t="inlineStr">
        <is>
          <t>shabbat</t>
        </is>
      </c>
      <c r="D516" s="8" t="inlineStr">
        <is>
          <t>Requires Edition Specific Identification</t>
        </is>
      </c>
      <c r="E516" s="9" t="inlineStr">
        <is>
          <t>מִקְדַּשׁ מֶלֶךְ עִיר מְלוּכָה
קוּמִי צְאִי מִתּוֹךְ הַהֲפֵכָה
רַב לָךְ שֶׁבֶת בְּעֵמֶק הַבָּכָא
וְהוּא יַחֲמוֹל עָלַיִךְ חֶמְלָּה</t>
        </is>
      </c>
      <c r="F516" s="10" t="inlineStr"/>
      <c r="G516" s="11" t="inlineStr">
        <is>
          <t>Lekha Dodi.4</t>
        </is>
      </c>
      <c r="H516" s="8" t="inlineStr">
        <is>
          <t>Wikisource — CC-BY-SA</t>
        </is>
      </c>
      <c r="I516" s="8" t="inlineStr">
        <is>
          <t>sefaria-lekha-dodi-4</t>
        </is>
      </c>
    </row>
    <row r="517" ht="80" customHeight="1">
      <c r="A517" s="7">
        <f>IF(LEN(TRIM(F517))=0,"Approved","Comment to address")</f>
        <v/>
      </c>
      <c r="B517" s="12" t="inlineStr">
        <is>
          <t>Lekha Dodi</t>
        </is>
      </c>
      <c r="C517" s="12" t="inlineStr">
        <is>
          <t>shabbat</t>
        </is>
      </c>
      <c r="D517" s="12" t="inlineStr">
        <is>
          <t>Requires Edition Specific Identification</t>
        </is>
      </c>
      <c r="E517" s="13" t="inlineStr">
        <is>
          <t>הִתְנַעֲרִי מֵעָפָר קוּמִי
לִבְשִׁי בִּגְדֵי תִּפְאַרְתֵּךְ עַמִּי
עַל יַד בֶּן יִשַׁי בֵּית הַלַּחְמִי
קָרְבָה אֶל נַפְשִׁי גְאָלָהּ</t>
        </is>
      </c>
      <c r="F517" s="10" t="inlineStr"/>
      <c r="G517" s="14" t="inlineStr">
        <is>
          <t>Lekha Dodi.5</t>
        </is>
      </c>
      <c r="H517" s="12" t="inlineStr">
        <is>
          <t>Wikisource — CC-BY-SA</t>
        </is>
      </c>
      <c r="I517" s="12" t="inlineStr">
        <is>
          <t>sefaria-lekha-dodi-5</t>
        </is>
      </c>
    </row>
    <row r="518" ht="80" customHeight="1">
      <c r="A518" s="7">
        <f>IF(LEN(TRIM(F518))=0,"Approved","Comment to address")</f>
        <v/>
      </c>
      <c r="B518" s="8" t="inlineStr">
        <is>
          <t>Lekha Dodi</t>
        </is>
      </c>
      <c r="C518" s="8" t="inlineStr">
        <is>
          <t>shabbat</t>
        </is>
      </c>
      <c r="D518" s="8" t="inlineStr">
        <is>
          <t>Requires Edition Specific Identification</t>
        </is>
      </c>
      <c r="E518" s="9" t="inlineStr">
        <is>
          <t>לֹא תֵּבֹשִׁי וְלֹא תִּכָּלְמִי
מַה תִּשְׁתּוֹחֲחִי וּמַה תֶּהֱמִי
בָּךְ יֶחֱסוּ עֲנִיֵּי עַמִּי
וְנִבְנְתָה עִיר עַל תִּלָּהּ</t>
        </is>
      </c>
      <c r="F518" s="10" t="inlineStr"/>
      <c r="G518" s="11" t="inlineStr">
        <is>
          <t>Lekha Dodi.7</t>
        </is>
      </c>
      <c r="H518" s="8" t="inlineStr">
        <is>
          <t>Wikisource — CC-BY-SA</t>
        </is>
      </c>
      <c r="I518" s="8" t="inlineStr">
        <is>
          <t>sefaria-lekha-dodi-7</t>
        </is>
      </c>
    </row>
    <row r="519" ht="80" customHeight="1">
      <c r="A519" s="7">
        <f>IF(LEN(TRIM(F519))=0,"Approved","Comment to address")</f>
        <v/>
      </c>
      <c r="B519" s="12" t="inlineStr">
        <is>
          <t>Lekha Dodi</t>
        </is>
      </c>
      <c r="C519" s="12" t="inlineStr">
        <is>
          <t>shabbat</t>
        </is>
      </c>
      <c r="D519" s="12" t="inlineStr">
        <is>
          <t>Requires Edition Specific Identification</t>
        </is>
      </c>
      <c r="E519" s="13" t="inlineStr">
        <is>
          <t>וְהָיוּ לִמְשִׁסָּה שֹׁאסָיִךְ
וְרָחֲקוּ כָּל מְבַלְּעָיִךְ
יָשִּׂישּׂ עָלַיִךְ אֱלֹהָיִךְ
כִּמְשּׂוֹשּׂ חָתָן עַל כַּלָּה</t>
        </is>
      </c>
      <c r="F519" s="10" t="inlineStr"/>
      <c r="G519" s="14" t="inlineStr">
        <is>
          <t>Lekha Dodi.8</t>
        </is>
      </c>
      <c r="H519" s="12" t="inlineStr">
        <is>
          <t>Wikisource — CC-BY-SA</t>
        </is>
      </c>
      <c r="I519" s="12" t="inlineStr">
        <is>
          <t>sefaria-lekha-dodi-8</t>
        </is>
      </c>
    </row>
    <row r="520" ht="80" customHeight="1">
      <c r="A520" s="7">
        <f>IF(LEN(TRIM(F520))=0,"Approved","Comment to address")</f>
        <v/>
      </c>
      <c r="B520" s="8" t="inlineStr">
        <is>
          <t>Lekha Dodi</t>
        </is>
      </c>
      <c r="C520" s="8" t="inlineStr">
        <is>
          <t>shabbat</t>
        </is>
      </c>
      <c r="D520" s="8" t="inlineStr">
        <is>
          <t>Requires Edition Specific Identification</t>
        </is>
      </c>
      <c r="E520" s="9" t="inlineStr">
        <is>
          <t>בֹּאִי בְשָׁלוֹם עֲטֶרֶת בַּעְלָהּ
גַּם בְּשִּׂמְחָה וּבְצָהֳלָה
תּוֹךְ אֱמוּנֵי עַם סְגֻלָּה
בּוֹאִי כַלָּה בּוֹאִי כַלָּה</t>
        </is>
      </c>
      <c r="F520" s="10" t="inlineStr"/>
      <c r="G520" s="11" t="inlineStr">
        <is>
          <t>Lekha Dodi.10</t>
        </is>
      </c>
      <c r="H520" s="8" t="inlineStr">
        <is>
          <t>Wikisource — CC-BY-SA</t>
        </is>
      </c>
      <c r="I520" s="8" t="inlineStr">
        <is>
          <t>sefaria-lekha-dodi-10</t>
        </is>
      </c>
    </row>
    <row r="521" ht="148" customHeight="1">
      <c r="A521" s="7">
        <f>IF(LEN(TRIM(F521))=0,"Approved","Comment to address")</f>
        <v/>
      </c>
      <c r="B521" s="12" t="inlineStr">
        <is>
          <t>Shalom Aleichem</t>
        </is>
      </c>
      <c r="C521" s="12" t="inlineStr">
        <is>
          <t>shabbat</t>
        </is>
      </c>
      <c r="D521" s="12" t="inlineStr">
        <is>
          <t>Requires Edition Specific Identification</t>
        </is>
      </c>
      <c r="E521" s="13" t="inlineStr">
        <is>
          <t>שָׁלוֹם עֲלֵיכֶם מַלְאֲכֵי הַשָּׁרֵת, מַלְאֲכֵי עֶלְיוֹן מִמֶּֽלֶךְ מַלְכֵי הַמְּלָכִים, הַקָּדוֹשׁ בָּרוּךְ הוּא.
בּוֹאֲכֶם לְשָׁלוֹם מַלְאֲכֵי הַשָּׁלוֹם, מַלְאֲכֵי עֶלְיוֹן מִמֶּֽלֶךְ מַלְכֵי הַמְּלָכִים, הַקָּדוֹשׁ בָּרוּךְ הוּא.
בָּרְכֽוּנִי לְשָׁלוֹם מַלְאֲכֵי הַשָּׁלוֹם, מַלְאֲכֵי עֶלְיוֹן מִמֶּֽלֶךְ מַלְכֵי הַמְּלָכִים, הַקָּדוֹשׁ בָּרוּךְ הוּא.
צֵאתְכֶם לְשָׁלוֹם מַלְאֲכֵי הַשָּׁלוֹם, מַלְאֲכֵי עֶלְיוֹן מִמֶּֽלֶךְ מַלְכֵי הַמְּלָכִים, הַקָּדוֹשׁ בָּרוּךְ הוּא.</t>
        </is>
      </c>
      <c r="F521" s="10" t="inlineStr"/>
      <c r="G521" s="14" t="inlineStr">
        <is>
          <t>Shalom Aleichem.1</t>
        </is>
      </c>
      <c r="H521" s="12" t="inlineStr">
        <is>
          <t>Shalom Alechem — CC-BY-SA</t>
        </is>
      </c>
      <c r="I521" s="12" t="inlineStr">
        <is>
          <t>sefaria-shalom-aleichem-1</t>
        </is>
      </c>
    </row>
    <row r="522" ht="409" customHeight="1">
      <c r="A522" s="7">
        <f>IF(LEN(TRIM(F522))=0,"Approved","Comment to address")</f>
        <v/>
      </c>
      <c r="B522" s="8" t="inlineStr">
        <is>
          <t>Yedid Nefesh</t>
        </is>
      </c>
      <c r="C522" s="8" t="inlineStr">
        <is>
          <t>source</t>
        </is>
      </c>
      <c r="D522" s="8" t="inlineStr">
        <is>
          <t>Requires Edition Specific Identification</t>
        </is>
      </c>
      <c r="E522" s="9" t="inlineStr">
        <is>
          <t>יְדִיד נֶפֶשׁ אָב הָרַחְמָן
מְשֹׁךְ עַבְדָּךְ אֶל רְצוֹנָךְ
יָרוּץ עַבְדָּךְ כְּמוֹ אַיָּל
יִשְׁתַּחֲוֶה מוּל הֲדָרָךְ
כִּי יֶעְרַב לוֹ יְדִידוּתָךְ
מִנֹּפֶת צוּף וְכָל טָעַם.
הָדוּר נָאֶה זִיו הָעוֹלָם
נַפְשִׁי חוֹלַת אַהֲבָתָךְ
אָנָּא אֵל נָא, רְפָא נָא לָהּ
בְּהַרְאוֹת לָהּ נֹעַם זִיוָךְ
אָז תִּתְחַזֵּק וְתִתְרַפֵּא
וְהָיְתָה לָּךְ שִׁפְחַת עוֹלָם.
וָתִיק יֶהְמוּ נָא רַחְמֶיךָ
וְחוּס נָא עַל בֵּן אוֹהֲבָךְ
כִּי זֶה כַּמָּה נִכְסֹף נִכְסַף
לִרְאוֹת בְּתִפְאֶרֶת עֻזָּךְ
אָנָּא אֵלִי מַחְמַד לִבִּי
חוּשָׁה נָּא וְאַל תִּתְעַלָּם.
הִגָּלֵה נָא וּפְרֹס חָבִיב
עָלַי אֶת סֻכַּת שְׁלוֹמָךְ
תָּאִיר אֶרֶץ מִכְּבוֹדָךְ
נָגִילָה וְנִשְׂמְחָה בָךְ
מַהֵר אָהוּב כִּי בָא מוֹעֵד
וְחָנֵּנִי כִּימֵי עוֹלָם.</t>
        </is>
      </c>
      <c r="F522" s="10" t="inlineStr"/>
      <c r="G522" s="11" t="inlineStr">
        <is>
          <t>Yedid Nefesh</t>
        </is>
      </c>
      <c r="H522" s="8" t="inlineStr">
        <is>
          <t>Original version with nikkud — CC-BY-SA</t>
        </is>
      </c>
      <c r="I522" s="8" t="inlineStr">
        <is>
          <t>sefaria-yedid-nefesh</t>
        </is>
      </c>
    </row>
    <row r="523" ht="409" customHeight="1">
      <c r="A523" s="7">
        <f>IF(LEN(TRIM(F523))=0,"Approved","Comment to address")</f>
        <v/>
      </c>
      <c r="B523" s="12" t="inlineStr">
        <is>
          <t>Kinot for Tisha B'Av Night</t>
        </is>
      </c>
      <c r="C523" s="12" t="inlineStr">
        <is>
          <t>mourning</t>
        </is>
      </c>
      <c r="D523" s="12" t="inlineStr">
        <is>
          <t>Ashkenaz</t>
        </is>
      </c>
      <c r="E523" s="13" t="inlineStr">
        <is>
          <t>זְכוֹר יְיָ מֶה הָיָה לָנוּ אוֹי. הַבִּיטָה וּרְאֵה אֶת חֶרְפָּתֵנוּ. אוֹי מֶה הָיָה לָנוּ:
נַחֲלָתֵנוּ נֶהֶפְכָה לְזָרִים אוֹי. בָּתֵּינוּ לְנָכְרִים. אוֹי מֶה הָיָה לָנוּ:
יְתוֹמִים הָיִינוּ וְאֵין אָב אוֹי. אִמּוֹתֵינוּ מְקוֹנְנוֹת בְּחֹדֶשׁ אָב. אוֹי מֶה הָיָה לָנוּ:
מֵימֵינוּ בְּכֶסֶף שָׁתִינוּ אוֹי. כִּי נִסּוּךְ הַמַּיִם בָּזִינוּ. אוֹי מֶה הָיָה לָנוּ:
עַל צַוָּארֵנוּ נִרְדָּפְנוּ אוֹי. כִּי שִׂנְאַת חִנָּם רָדָפְנוּ. אוֹי מֶה הָיָה לָנוּ:
מִצְרַיִם נָתַנּוּ יָד אוי. וְאַשּׁוּר צָדוּנוּ כְּצַיָּד. אוֹי מֶה הָיָה לָנוּ:
אֲבֹתֵינוּ חָטְאוּ וְאֵינָם אוי. וַאֲנַחְנוּ סוֹבְלִים אֶת עֲוֹנָם. אוֹי מֶה הָיָה לָנוּ:
עֲבָדִים מָשְׁלוּ בָנוּ אוי. כִּי שִׁלּוּחַ עֲבָדִים בִּטַּלְנוּ. אוֹי מֶה הָיָה לָנוּ:
בְּנַפְשֵׁנוּ נָבִיא לַחְמֵנוּ אוי. כִּי קָפַצְנוּ מֵעָנִי יָדֵינוּ. אוֹי מֶה הָיָה לָנוּ:
עוֹרֵנוּ כְּתַנּוּר נִכְמָרוּ אוי. כִּי כְבוֹדָם בְּקָלוֹן הֵמִירוּ. אוֹי מֶה הָיָה לָנוּ:
נָשִׁים בְּצִיּוֹן עִנּוּ אוֹי. כִּי אִישׁ אֶת אֵשֶׁת רֵעֵהוּ טִמְּאוּ וְזִנּוּ. אוֹי מֶה הָיָה לָנוּ:
שָׂרִים בְּיָדָם נִתְלוּ אוֹי. כִּי גְּזֵלַת הֶעָנִי חָמְסוּ וְגָזְלוּ. אוֹי מֶה הָיָה לָנוּ:
בַּחוּרִים טְחוֹן נָשָׂאוּ אוֹי. כִּי בְּבֵית זוֹנָה נִמְצָאוּ. אוֹי מֶה הָיָה לָנוּ:
זְקֵנִים מִשַּׁעַר שָׁבָתוּ אוֹי. כִּי מִשְׁפַּט יָתוֹם וְאַלְמָנָה עִוְּתוּ. אוֹי מֶה הָיָה לָנוּ:
שָׁבַת מְשׂוֹשׂ לִבֵּנוּ אוֹי. כִּי נִבְטְלוּ עוֹלֵי רְגָלֵינוּ. אוֹי מֶה הָיָה לָנוּ:
נָפְלָה עֲטֶרֶת רֹאשֵׁנוּ אוֹי. כִּי נִשְׂרַף בֵּית מִקְדָּשֵׁנוּ. אוֹי מֶה הָיָה לָנוּ:
עַל זֶה הָיָה דָוֶה לִבֵּנוּ אוֹי. כִּי נֻטַּל כְּבוֹד בֵּית מַאֲוָיֵנוּ. אוֹי מֶה הָיָה לָנוּ:
עַל הַר צִיּוֹן שֶׁשָּׁמֵם אוֹי. כִּי נִתַּן עָלָיו שִׁקּוּץ מְשׁוֹמֵם. אוֹי מֶה הָיָה לָנוּ:
אַתָּה יְיָ לְעוֹלָם תֵּשֵׁב כִּסְאֲךָ לְדוֹר וָדוֹר:
לָמָּה לָנֶצַח תִּשְׁכָּחֵנוּ תַּעַזְבֵנוּ לְאֹרֶךְ יָמִים:
הֲשִׁיבֵנוּ יְיָ אֵלֶיךָ וְנָשׁוּבָה חַדֵּשׁ יָמֵינוּ כְּקֶדֶם:
כִּי אִם מָאֹס מְאַסְתָּנוּ קָצַפְתָּ עָלֵינוּ עַד מְאֹד:
הֲשִׁיבֵנוּ יְיָ אֵלֶיךָ וְנָשׁוּבָה חַדֵּשׁ יָמֵינוּ כְּקֶדֶם:</t>
        </is>
      </c>
      <c r="F523" s="10" t="inlineStr"/>
      <c r="G523" s="14" t="inlineStr">
        <is>
          <t>Kinnot for Tisha B'Av (Ashkenaz), Kinot for Tisha B'Av Night.1</t>
        </is>
      </c>
      <c r="H523" s="12" t="inlineStr">
        <is>
          <t>Kinnot for Tisha B'Av -- Wikisource — CC-BY-SA</t>
        </is>
      </c>
      <c r="I523" s="12" t="inlineStr">
        <is>
          <t>sefaria-kinnot-for-tisha-b-av-ashkenaz-kinot-for-tisha-b-av-night-1</t>
        </is>
      </c>
    </row>
    <row r="524" ht="409" customHeight="1">
      <c r="A524" s="7">
        <f>IF(LEN(TRIM(F524))=0,"Approved","Comment to address")</f>
        <v/>
      </c>
      <c r="B524" s="8" t="inlineStr">
        <is>
          <t>Kinot for Tisha B'Av Night</t>
        </is>
      </c>
      <c r="C524" s="8" t="inlineStr">
        <is>
          <t>mourning</t>
        </is>
      </c>
      <c r="D524" s="8" t="inlineStr">
        <is>
          <t>Ashkenaz</t>
        </is>
      </c>
      <c r="E524" s="9" t="inlineStr">
        <is>
          <t>עַד אָנָה בִּכְיָה בְצִיּוֹן וּמִסְפֵּד בִּירוּשָׁלָיִם. תְּרַחֵם צִיּוֹן וְתִבְנֶה חוֹמוֹת יְרוּשָׁלָיִם:
אָז בַּחֲטָאֵינוּ חָרַב מִקְדָּשׁ וּבַעֲוֹנוֹתֵינוּ נִשְׂרַף הֵיכָל. בְּאֶרֶץ חֻבְּרָה לָהּ קָשְׁרָה מִסְפֵּד. וּצְבָא הַשָּׁמַיִם נָשְׂאוּ קִינָה: עד אנה:
גַּם בָּכוּ בְּמֶרֶר שִׁבְטֵי יַעֲקֹב. וְאַף מַזָּלוֹת יִזְּלוּ דִּמְעָה. דִּגְלֵי יְשֻׁרוּן חָפוּ רֹאשָׁם. וְכִימָה וּכְסִיל קָדְרוּ פְּנֵיהֶם. עד אנה:
הֶעְתִּירוּ אָבוֹת וְלֹא שָׁמַע אֵל. צָעֲקוּ בָנִים וְלֹא עָנָה אָב. וְקוֹל הַתֹּר נִשְׁמַע בַּמָּרוֹם. וְרוֹעֶה נֶאֱמָן לֹא הִטָּה אֹזֶן. עד אנה:
זֶרַע קֹדֶשׁ לָבְשׁוּ שַׂקִּים. וּצְבָא הַשָּׁמַיִם גַּם הֵם שַׂק הוּשַׂם כְּסוּתָם. חָשַׁךְ הַשֶּׁמֶשׁ וְיָרֵחַ קָדַר. וְכוֹכָבִים וּמַזָּלוֹת אָסְפוּ נָגְהָם. עד אנה:
טָלֶה רִאשׁוֹן בָּכָה בְּמַר נֶפֶשׁ. עַל כִּי כְבָשָׂיו לָטֶבַח הוּבָלוּ. יְלָלָה הִשְׁמִיעַ שׁוֹר בַּמְּרוֹמִים. כִּי עַל צַוָּארֵנוּ נִרְדַּפְנוּ כֻּלָּנוּ. עד אנה:
כּוֹכַב תְּאוֹמִים נִרְאָה חָלוּק. כִּי דַּם אַחִים נִשְׁפַּךְ כַּמַּיִם. לָאָרֶץ בִּקֵּשׁ לִפֹּל סַרְטָן. כִּי נִתְעַלַּפְנוּ מִפְּנֵי צָמָא. עד אנה:
מָרוֹם נִבְעַת מִפְּנֵי אַרְיֵה. כִּי שַׁאֲגָתֵנוּ לֹא עָלְתָה לַמָּרוֹם. נֶהֶרְגוּ בְתוּלוֹת וְגַם בַּחוּרִים. כִּי עַל כֵּן בְּתוּלָה קָדְרָה פָּנֶיהָ. עד אנה:
סִבֵּב מֹאזְנַיִם וּבִקֵּשׁ תְּחִנָּה. כִּי נִבְחַר לָנוּ מָוֶת מֵחַיִּים. עַקְרָב לָבַשׁ פַּחַד וּרְעָדָה. כִּי בְּחֶרֶב וּבְרָעָב שְׁפָטָנוּ צוּרֵנוּ. עד אנה:
פַּלְגֵי מַיִם הוֹרִידוּ דִּמְעָה כַּנַּחַל. כִּי אוֹת בַּקֶּשֶׁת לֹא נִתַּן לָנוּ. צָפוּ מַיִם עַל רֹאשֵׁנוּ. וּבִדְלִי מָלֵא חִכֵּנוּ יָבֵשׁ. עד אנה:
קֵרַבְנוּ קָרְבָּן וְלֹא נִתְקַבֵּל. וּגְדִי פָּסַק שְׂעִיר חַטֹּאתֵינוּ. רַחֲמָנִיּוֹת בִּשְּׁלוּ יַלְדֵּיהֶן. וּמַזַּל דָּגִים הֶעֱלִים עֵינָיו. עד אנה:
שָׁכַחְנוּ שַׁבָּת בְּלִבּוֹת שׁוֹבָבִים. שַׁדַּי שִׁכַּח כָּל צִדְקוֹתֵינוּ. תְּקַנֵּא לְצִיּוֹן קִנְאָה גְּדוֹלָה. וְתָאִיר לְרַבָּתִי עָם מֵאוֹר נָגְהֶךָ:
תְּרַחֵם צִיּוֹן כַּאֲשֶׁר אָמַרְתָּ וּתְכוֹנְנֶהָ כַּאֲשֶׁר דִּבַּרְתָּ. תְּמַהֵר יְשׁוּעָה וְתָחִישׁ גְּאֻלָּה וְתָשׁוּב לִירוּשָׁלַיִם בְּרַחֲמִים רַבִּים: כַּכָּתוּב עַל יַד נְבִיאֶךָ לָכֵן כֹּה אָמַר יְיָ שַׁבְתִּי לִירוּשָׁלַיִם בְּרַחֲמִים בֵּיתִי יִבָּנֶה בָּהּ נְאֻם יְיָ צְבָאוֹת וְקָו יִנָּטֶה עַל יְרוּשָׁלָיִם: וְנֶאֱמַר. עוֹד קְרָא לֵאמֹר כֹּה אָמַר יְיָ צְבָאוֹת עוֹד תְּפוּצֶנָה עָרַי מִטּוֹב וְנִחַם יְיָ עוֹד אֶת צִיּוֹן וּבָחַר עוֹד בִּירוּשָׁלָיִם: וְנֶאֱמַר כִּי נִחַם יְיָ צִיּוֹן נִחַם כָּל חָרְבֹתֶיהָ וַיָּשֶׂם מִדְבָּרָהּ כְּעֵדֶן וְעַרְבָתָהּ כְּגַן יְיָ שָׂשׂוֹן וְשִׂמְחָה יִמָּצֵא בָהּ תּוֹדָה וְקוֹל זִמְרָה:</t>
        </is>
      </c>
      <c r="F524" s="10" t="inlineStr"/>
      <c r="G524" s="11" t="inlineStr">
        <is>
          <t>Kinnot for Tisha B'Av (Ashkenaz), Kinot for Tisha B'Av Night.5</t>
        </is>
      </c>
      <c r="H524" s="8" t="inlineStr">
        <is>
          <t>Kinnot for Tisha B'Av -- Wikisource — CC-BY-SA</t>
        </is>
      </c>
      <c r="I524" s="8" t="inlineStr">
        <is>
          <t>sefaria-kinnot-for-tisha-b-av-ashkenaz-kinot-for-tisha-b-av-night-5</t>
        </is>
      </c>
    </row>
    <row r="525" ht="409" customHeight="1">
      <c r="A525" s="7">
        <f>IF(LEN(TRIM(F525))=0,"Approved","Comment to address")</f>
        <v/>
      </c>
      <c r="B525" s="12" t="inlineStr">
        <is>
          <t>Kinot for Tisha B'Av Day</t>
        </is>
      </c>
      <c r="C525" s="12" t="inlineStr">
        <is>
          <t>mourning</t>
        </is>
      </c>
      <c r="D525" s="12" t="inlineStr">
        <is>
          <t>Ashkenaz</t>
        </is>
      </c>
      <c r="E525" s="13" t="inlineStr">
        <is>
          <t>לְךָ יהוה הַצְּדָקָה בְּאוֹתוֹת אֲשֶׁר הִפְלֵאתָ מֵאָז וְעַד עָתָּה,
וְלָנוּ בּשֶׁת הַפָּנִים בִּבְחִינָה אֲשֶׁר נִצְרַפְנוּ וְאוֹתָנוּ תִּעָבְתָּ:
לְךָ יהוה הַצּדָקָה בְּגוֹי מִקֶּרֶב גּוֹי לָקַחְתָּ בְּמַסּוֹת,
וְלָנוּ בּשֶׁת הַפָּנִים בְּדֺפִי אֲשֶׁר נִמְצָא בָנוּ כְּמַעֲשֵׂיהֶם עֲשׂוֹת:
לְךָ יהוה הַצּדָקָה בְּהָלְכוּ אֱלֹהִים לִפְדּוֹת לוֹ לְעָם,
וְלָנוּ בּשֶׁת הַפָּנִים בְּוַיַּמְרוּ עַל יָם בְּיַם סוּף גּוֹי בֵּאלֹהָיו בְּפָשְׁעָם:
לְךָ יהוה הַצַּדָקָה בְּזֵכֶר וְאַתֶּם עֵדַי וַאֲנִי אֱלֹהִים,
וְלָנוּ בּשֶׁת הַפָּנִים בְּחָרְפֵנוּ בְּסִין קוּם עֲשֵׂה לָנוּ אֱלֹהִים:
לְךָ יהוה הַצְּדָקָה בְּטַעַם שֶׁהִטְעַמְתָּנוּ כְּצַפִּיחִת בִּדְבָשׁ,
וְלָנוּ בּשֶׁת הַפָּנִים בְּיוֹם הִקְרַבְנוּ לְפָנָיו סֺלֶת וָשֶׁמֶן וּדְבָשׁ:
לְךָ יהוה הַצְּדָקָה בְּכִלְכּוּל מָן וּבְאֵר וְעַמּוּד עָנָן,
וְלָנוּ בּשֶׁת הַפָּנִים בְּלֶחֶם הַקְּלֹקֵל אֲבוֹתֵינוּ בְּאָהֳלֵיהֶם בְּרָגְנָן:
לְךָ יהוה הַצְּדָקָה בַּמִּדְבָּר לֹא חָסַרְנוּ דָּבָר,
וְלָנוּ בּשֶׁת הַפָּנִים בְּנִאֲצוֹת לָבָן וְחֲצֵרֺת וְדִי זָהָב כִּמְדֻבָּר:
לְךָ יהוה הַצְּדָקָה בְּסִיחוֹן וְעוֹג וְכֺל מַלְכֵי כְנָעַן,
וְלָנוּ בּשֶׁת הַפָּנִים בְּעָכָן אֲשֶׁר מָעַל בַּחֵרֶם בְּלִי מְצֺא מַעַן:
לְךָ יהוה הַצְּדָקָה בְּפֺעַל אֲשֶׁר פָּעַלְתָּ בְּאַרְבָּעָה עָשָׂר מוֹשִׁיעִים,
וְלָנוּ בּשֶׁת הַפָּנִים בְּצֶלֶם מִיכָה כִּי בוֹ אֲנַחְנוּ פוֹשְׁעִים:
לְךָ יהוה הַצְּדָקָה בְּקִימַת שִׁילֹה וְנוֹב וְגִבְעוֹן וּבֵית עוֹלָמִים,
וְלָנוּ בּשֶׁת הַפָּנִים בְּרֶשַׁע שֶׁנִּמְצָא בָנוּ שֶׁחָרְבוּ וּבָם אָנוּ נִכְלָמִים:
לְךָ יהוה הַצְּדָקָה בִּשְׁנֵי חָרְבָּנוֹת שֶׁחָרְבוּ בְּבִצְעֵנוּ וְאָנוּ קַיָּמִים,
וְלָנוּ בּשֶׁת הַפָּנִים בְּשׁוּבֵנוּ אֵלֶיךָ בְּכָָל לֵב שֶׁתָּשׁוּב אֵלֵינוּ בְּרַחֲמִים:
לְךָ יהוה הַצְּדָקָה בִּתְשַׁע מֵאוֹת שָׁנָה שֶׁהָיְתָה שִׂנְאָה כְּבוּשָׁה מִלְּהִשָּׁמַע,
וְלָנוּ בּשֶׁת הַפָּנִים כְּתָבַע אִישׁ חַמוּדוֹת וְשִׁוַּע הַטֵּה אֱלֹהַי אָזְנְךָ וּשֲׁמָע:</t>
        </is>
      </c>
      <c r="F525" s="10" t="inlineStr"/>
      <c r="G525" s="14" t="inlineStr">
        <is>
          <t>Kinnot for Tisha B'Av (Ashkenaz), Kinot for Tisha B'Av Day.19</t>
        </is>
      </c>
      <c r="H525" s="12" t="inlineStr">
        <is>
          <t>Kinnot for Tisha B'Av -- Wikisource — CC-BY-SA</t>
        </is>
      </c>
      <c r="I525" s="12" t="inlineStr">
        <is>
          <t>sefaria-kinnot-for-tisha-b-av-ashkenaz-kinot-for-tisha-b-av-day-19</t>
        </is>
      </c>
    </row>
    <row r="526" ht="409" customHeight="1">
      <c r="A526" s="7">
        <f>IF(LEN(TRIM(F526))=0,"Approved","Comment to address")</f>
        <v/>
      </c>
      <c r="B526" s="8" t="inlineStr">
        <is>
          <t>Kinot for Tisha B'Av Day</t>
        </is>
      </c>
      <c r="C526" s="8" t="inlineStr">
        <is>
          <t>mourning</t>
        </is>
      </c>
      <c r="D526" s="8" t="inlineStr">
        <is>
          <t>Ashkenaz</t>
        </is>
      </c>
      <c r="E526" s="9" t="inlineStr">
        <is>
          <t>אֱלִי צִיּוֹן וְעָרֶיהָ, כְּמוֹ אִשָּׁה בְּצִירֶיהָ, וְכִבְתוּלָה חֲגוּרַת שַׂק, עַל בַּעַל נְעוּרֶיהָ
עֲלֵי אַרְמוֹן אֲשֶׁר נֻטַּשׁ, בְּאַשְׁמַת צֹאן עֲדָרֶיהָ,
וְעַל בִּיאַת מְחָרְפֵי אֵל, בְּתוֹךְ מִקְדַּשׁ חֲדָרֶיהָ.
עֲלֵי גָלוּת מְשָׁרְתֵי אֵל, נְעִימֵי שִׁיר זְמָרֶיהָ,
וְעַל דָּמָם אֲשֶׁר שֻׁפַּךְ כְּמוֹ מֵימֵי יְאוֹרֶיהָ.
עֲלֵי הֶגְיוֹן מְחוֹלֶיהָ, אֲשֶׁר דָּמַם בְּעָרֶיהָ,
וְעַל וַעַד אֲשֶׁר שָׁמַם וּבִטּוּל סַנְהֶדְרֶיהָ.
עֲלֵי זִבְחֵי תְמִידֶיהָ וּפִדְיוֹנֵי בְּכוֹרֶיהָ,
וְעַל חִלּוּל כְּלֵי הֵיכָל וּמִזְבֵּחַ קְטוֹרֶיהָ.
עֲלֵי טַפֵּי מְלָכֶיהָ בְּנֵי דָוִד גְּבִירֶיהָ,
וְעַל יָפְיָם אֲשֶׁר חָשַׁךְ בְּעֵת סָרוּ כְּתָרֶיהָ.
עֲלֵי כָבוֹד אֲשֶׁר גָּלָה בְּעֵת חָרְבַּן דְּבִירֶיהָ,
וְעַל לוֹחֵץ אֲשֶׁר לָחַץ וְשָׂם שַׂקִּים חֲגוֹרֶיהָ:
עֲלֵי מַחַץ וְרֹב מַכּוֹת אֲשֶׁר הֻכּוּ נְזִירֶיהָ,
וְעַל נִפּוּץ אֱלֵי סֶלַע עֲוִילֶיהָ נְעָרֶיהָ.
עֲלֵי שִׂמְחַת מְשַׂנְאֶיהָ בְּשָׂחְקָם עַל שְׁבָרֶיהָ,
וְעַל עִנּוּי בְּנֵי חוֹרִין נְדִיבֶיהָ טְהוֹרֶיהָ.
עֲלֵי פֶשַׁע אֲשֶׁר עָוְתָה סְלוֹל דֶּרֶךְ אֲשׁוּרֶיהָ,
וְעַל צִבְאוֹת קְהָלֶיהָ שְׁזוּפֶיהָ שְׁחוֹרֶיהָ.
עֲלֵי קוֹלוֹת מְחָרְפֶיהָ בְּעֵת רַבּוּ פְגָרֶיהָ,
וְעַל רִגְשַׁת מְגַדְפֶיהָ בְּתוֹך מִשְׁכַּן חֲצֵרֶיהָ.
עֲלֵי שִׁמְךָ אֲשֶׁר חֻלַּל בְּפִי קָמֵי מְצֵרֶיהָ,
וְעַל תַּחַן יְצַוְּחוּ לָךְ קְשׁוֹב וּשְׁמַע אֲמָרֶיהָ.
אֱלִי צִיּוֹן וְעָרֶיהָ, כְּמוֹ אִשָּׁה בְּצִירֶיהָ, וְכִבְתוּלָה חֲגוּרַת שַׂק, עַל בַּעַל נְעוּרֶיהָ:</t>
        </is>
      </c>
      <c r="F526" s="10" t="inlineStr"/>
      <c r="G526" s="11" t="inlineStr">
        <is>
          <t>Kinnot for Tisha B'Av (Ashkenaz), Kinot for Tisha B'Av Day.45</t>
        </is>
      </c>
      <c r="H526" s="8" t="inlineStr">
        <is>
          <t>Kinnot for Tisha B'Av -- Wikisource — CC-BY-SA</t>
        </is>
      </c>
      <c r="I526" s="8" t="inlineStr">
        <is>
          <t>sefaria-kinnot-for-tisha-b-av-ashkenaz-kinot-for-tisha-b-av-day-45</t>
        </is>
      </c>
    </row>
    <row r="527" ht="284" customHeight="1">
      <c r="A527" s="7">
        <f>IF(LEN(TRIM(F527))=0,"Approved","Comment to address")</f>
        <v/>
      </c>
      <c r="B527" s="12" t="inlineStr">
        <is>
          <t>Concluding Prayer</t>
        </is>
      </c>
      <c r="C527" s="12" t="inlineStr">
        <is>
          <t>source</t>
        </is>
      </c>
      <c r="D527" s="12" t="inlineStr">
        <is>
          <t>Requires Edition Specific Identification</t>
        </is>
      </c>
      <c r="E527" s="13" t="inlineStr">
        <is>
          <t>בַּקָּשָׁה לְאַחַר אֲמִירַת פֶּרֶק שִׁירָה
רִבּוֹן כֹּל הָעוֹלָמִים, יְהִי רָצוֹן מִלְּפָנֶיךָ יי אֱלֹהַי וֶאֱלֹהֵי אֲבוֹתַי, שֶׁבִּזְכוּת "פֶּרֶק שִׁירָה שֶׁקָּרָאתִי, שֶׁהוּא שִׁירַת הַדּוֹמֵם הַצּוֹמֵחַ וְהַחַי, וְהַמַּלְאָכִים הַמְּמֻנִּים עֲלֵיהֶם מֵאֵת ד' יִתְבָּרֵךְ, שֶׁתְּהֵא אֲמִירָתוֹ כְּהַקְרָבַת קָרְבָּן עַל גַּבֵּי הַמִּזְבֵּחַ. שֶׁתְּהֵא שָׁעָה זוּ שְׁעַת רַחֲמִים, שְׁעַת הַקְשָׁבָה, שְׁעַת הַאֲזָנָה, וְנִקְרָאֲךָ וּתְעַנִּינוּ, נַעְתִּיר לְךָ וְהֵעָתֵר לָנוּ.
שֶׁתִּהְיֶה עוֹלָה לְפָנֶיךָ אֲמִירַת פֶּרֶק שִׁירָה כְּאִלּוּ הִשַּׂגְנוּ כֹּל הַסּוֹדוֹת הַנִּפְלָאוֹת וְהַנּוֹרָאוֹת אֲשֶׁר הֵם חֲתוּמִים בּוֹ בְּכֹל תְּנָאָיו. הַחְזִירֵנוּ בִּתְשׁוּבָה שְׁלֵמָה לְפָנֶיךָ, וְנִזְכֶּה לְמָקוֹם שֶׁהַנְּפָשׁוֹת הָרוּחוֹת וְהַנְשָׁמוֹת נֶחְצָבוֹת מִשַּׁם, וּכְאִלּוּ עָשִׂינוּ כֹּל אַשֵּׁר מוּטָל עָלֵינוּ לְהַשִּׂיג, בֵּין בְּגִלְגּוּל זֶה בֵּין בְּגִלְגּוּלִים אֲחֵרִים, וּמַלֵּא כֹּל מִשְׁאֲלוֹת לִבֵּנוּ לְטוֹבָה (כָּאן יוֹסִיף בִּפְרָטִיּוּת מַה שֶׁנִּצְרַךְ) וְתִשְׁלַח בְּרָכָה הַצְלָחָה וְהַרְוָחָה בְּכֹל מֵעֲשֵׂה יָדֵינוּ, וְנִזְכֶּה לְשׁוֹרֵר לַעֲתִיד לָבוֹא, וְתַשִּׁיב שְׁכִינָתְךָ לְעִיר קָדְשְׁךָ בִּמְהֵרָה בְּיָמֵינוּ אָמֵן. (מעובד מהרב רבי מרדכי גרוס שליט"א)</t>
        </is>
      </c>
      <c r="F527" s="10" t="inlineStr"/>
      <c r="G527" s="14" t="inlineStr">
        <is>
          <t>Perek Shirah, Concluding Prayer</t>
        </is>
      </c>
      <c r="H527" s="12" t="inlineStr">
        <is>
          <t>Torat Emet 357 — Public Domain</t>
        </is>
      </c>
      <c r="I527" s="12" t="inlineStr">
        <is>
          <t>sefaria-perek-shirah-concluding-prayer</t>
        </is>
      </c>
    </row>
    <row r="528" ht="131" customHeight="1">
      <c r="A528" s="7">
        <f>IF(LEN(TRIM(F528))=0,"Approved","Comment to address")</f>
        <v/>
      </c>
      <c r="B528" s="8" t="inlineStr">
        <is>
          <t>Abraham's servant asks for guidance</t>
        </is>
      </c>
      <c r="C528" s="8" t="inlineStr">
        <is>
          <t>study</t>
        </is>
      </c>
      <c r="D528" s="8" t="inlineStr">
        <is>
          <t>Scriptural</t>
        </is>
      </c>
      <c r="E528" s="9" t="inlineStr">
        <is>
          <t>וַיֹּאמַ֓ר ׀ יְהוָ֗ה אֱלֹהֵי֙ אֲדֹנִ֣י אַבְרָהָ֔ם הַקְרֵה־נָ֥א לְפָנַ֖י הַיּ֑וֹם וַעֲשֵׂה־חֶ֕סֶד עִ֖ם אֲדֹנִ֥י אַבְרָהָֽם׃
הִנֵּ֛ה אָנֹכִ֥י נִצָּ֖ב עַל־עֵ֣ין הַמָּ֑יִם וּבְנוֹת֙ אַנְשֵׁ֣י הָעִ֔יר יֹצְאֹ֖ת לִשְׁאֹ֥ב מָֽיִם׃
וְהָיָ֣ה הַֽנַּעֲרָ֗ אֲשֶׁ֨ר אֹמַ֤ר אֵלֶ֙יהָ֙ הַטִּי־נָ֤א כַדֵּךְ֙ וְאֶשְׁתֶּ֔ה וְאָמְרָ֣ה שְׁתֵ֔ה וְגַם־גְּמַלֶּ֖יךָ אַשְׁקֶ֑ה אֹתָ֤הּ הֹכַ֙חְתָּ֙ לְעַבְדְּךָ֣ לְיִצְחָ֔ק וּבָ֣הּ אֵדַ֔ע כִּי־עָשִׂ֥יתָ חֶ֖סֶד עִם־אֲדֹנִֽי׃</t>
        </is>
      </c>
      <c r="F528" s="10" t="inlineStr"/>
      <c r="G528" s="11" t="inlineStr">
        <is>
          <t>Genesis 24:12-14</t>
        </is>
      </c>
      <c r="H528" s="8" t="inlineStr">
        <is>
          <t>Tanach with Ta'amei Hamikra — Public Domain</t>
        </is>
      </c>
      <c r="I528" s="8" t="inlineStr">
        <is>
          <t>research-genesis-24-12-14</t>
        </is>
      </c>
    </row>
    <row r="529" ht="114" customHeight="1">
      <c r="A529" s="7">
        <f>IF(LEN(TRIM(F529))=0,"Approved","Comment to address")</f>
        <v/>
      </c>
      <c r="B529" s="12" t="inlineStr">
        <is>
          <t>Jacob's vow on his journey</t>
        </is>
      </c>
      <c r="C529" s="12" t="inlineStr">
        <is>
          <t>travel</t>
        </is>
      </c>
      <c r="D529" s="12" t="inlineStr">
        <is>
          <t>Scriptural</t>
        </is>
      </c>
      <c r="E529" s="13" t="inlineStr">
        <is>
          <t>וַיִּדַּ֥ר יַעֲקֹ֖ב נֶ֣דֶר לֵאמֹ֑ר אִם־יִהְיֶ֨ה אֱלֹהִ֜ים עִמָּדִ֗י וּשְׁמָרַ֙נִי֙ בַּדֶּ֤רֶךְ הַזֶּה֙ אֲשֶׁ֣ר אָנֹכִ֣י הוֹלֵ֔ךְ וְנָֽתַן־לִ֥י לֶ֛חֶם לֶאֱכֹ֖ל וּבֶ֥גֶד לִלְבֹּֽשׁ׃
וְשַׁבְתִּ֥י בְשָׁל֖וֹם אֶל־בֵּ֣ית אָבִ֑י וְהָיָ֧ה יְהוָ֛ה לִ֖י לֵאלֹהִֽים׃
וְהָאֶ֣בֶן הַזֹּ֗את אֲשֶׁר־שַׂ֙מְתִּי֙ מַצֵּבָ֔ה יִהְיֶ֖ה בֵּ֣ית אֱלֹהִ֑ים וְכֹל֙ אֲשֶׁ֣ר תִּתֶּן־לִ֔י עַשֵּׂ֖ר אֲעַשְּׂרֶ֥נּוּ לָֽךְ׃</t>
        </is>
      </c>
      <c r="F529" s="10" t="inlineStr"/>
      <c r="G529" s="14" t="inlineStr">
        <is>
          <t>Genesis 28:20-22</t>
        </is>
      </c>
      <c r="H529" s="12" t="inlineStr">
        <is>
          <t>Tanach with Ta'amei Hamikra — Public Domain</t>
        </is>
      </c>
      <c r="I529" s="12" t="inlineStr">
        <is>
          <t>research-genesis-28-20-22</t>
        </is>
      </c>
    </row>
    <row r="530" ht="165" customHeight="1">
      <c r="A530" s="7">
        <f>IF(LEN(TRIM(F530))=0,"Approved","Comment to address")</f>
        <v/>
      </c>
      <c r="B530" s="8" t="inlineStr">
        <is>
          <t>Jacob asks for deliverance</t>
        </is>
      </c>
      <c r="C530" s="8" t="inlineStr">
        <is>
          <t>protection</t>
        </is>
      </c>
      <c r="D530" s="8" t="inlineStr">
        <is>
          <t>Scriptural</t>
        </is>
      </c>
      <c r="E530" s="9" t="inlineStr">
        <is>
          <t>וַיֹּאמֶר֮ יַעֲקֹב֒ אֱלֹהֵי֙ אָבִ֣י אַבְרָהָ֔ם וֵאלֹהֵ֖י אָבִ֣י יִצְחָ֑ק יְהוָ֞ה הָאֹמֵ֣ר אֵלַ֗י שׁ֧וּב לְאַרְצְךָ֛ וּלְמוֹלַדְתְּךָ֖ וְאֵיטִ֥יבָה עִמָּֽךְ׃
קָטֹ֜נְתִּי מִכֹּ֤ל הַחֲסָדִים֙ וּמִכָּל־הָ֣אֱמֶ֔ת אֲשֶׁ֥ר עָשִׂ֖יתָ אֶת־עַבְדֶּ֑ךָ כִּ֣י בְמַקְלִ֗י עָבַ֙רְתִּי֙ אֶת־הַיַּרְדֵּ֣ן הַזֶּ֔ה וְעַתָּ֥ה הָיִ֖יתִי לִשְׁנֵ֥י מַחֲנֽוֹת׃
הַצִּילֵ֥נִי נָ֛א מִיַּ֥ד אָחִ֖י מִיַּ֣ד עֵשָׂ֑ו כִּֽי־יָרֵ֤א אָנֹכִי֙ אֹת֔וֹ פֶּן־יָב֣וֹא וְהִכַּ֔נִי אֵ֖ם עַל־בָּנִֽים׃
וְאַתָּ֣ה אָמַ֔רְתָּ הֵיטֵ֥ב אֵיטִ֖יב עִמָּ֑ךְ וְשַׂמְתִּ֤י אֶֽת־זַרְעֲךָ֙ כְּח֣וֹל הַיָּ֔ם אֲשֶׁ֥ר לֹא־יִסָּפֵ֖ר מֵרֹֽב׃</t>
        </is>
      </c>
      <c r="F530" s="10" t="inlineStr"/>
      <c r="G530" s="11" t="inlineStr">
        <is>
          <t>Genesis 32:10-13</t>
        </is>
      </c>
      <c r="H530" s="8" t="inlineStr">
        <is>
          <t>Tanach with Ta'amei Hamikra — Public Domain</t>
        </is>
      </c>
      <c r="I530" s="8" t="inlineStr">
        <is>
          <t>research-genesis-32-10-13</t>
        </is>
      </c>
    </row>
    <row r="531" ht="409" customHeight="1">
      <c r="A531" s="7">
        <f>IF(LEN(TRIM(F531))=0,"Approved","Comment to address")</f>
        <v/>
      </c>
      <c r="B531" s="12" t="inlineStr">
        <is>
          <t>Song at the Sea</t>
        </is>
      </c>
      <c r="C531" s="12" t="inlineStr">
        <is>
          <t>protection</t>
        </is>
      </c>
      <c r="D531" s="12" t="inlineStr">
        <is>
          <t>Scriptural</t>
        </is>
      </c>
      <c r="E531" s="13" t="inlineStr">
        <is>
          <t>אָ֣ז יָשִֽׁיר־מֹשֶׁה֩ וּבְנֵ֨י יִשְׂרָאֵ֜ל אֶת־הַשִּׁירָ֤ה הַזֹּאת֙ לַֽיהוָ֔ה וַיֹּאמְר֖וּ לֵאמֹ֑ר אָשִׁ֤ירָה לַֽיהוָה֙ כִּֽי־גָאֹ֣ה גָּאָ֔ה ס֥וּס וְרֹכְב֖וֹ רָמָ֥ה בַיָּֽם׃
עָזִּ֤י וְזִמְרָת֙ יָ֔הּ וַֽיְהִי־לִ֖י לִֽישׁוּעָ֑ה זֶ֤ה אֵלִי֙ וְאַנְוֵ֔הוּ אֱלֹהֵ֥י אָבִ֖י וַאֲרֹמְמֶֽנְהוּ׃
יְהוָ֖ה אִ֣ישׁ מִלְחָמָ֑ה יְהוָ֖ה שְׁמֽוֹ׃
מַרְכְּבֹ֥ת פַּרְעֹ֛ה וְחֵיל֖וֹ יָרָ֣ה בַיָּ֑ם וּמִבְחַ֥ר שָֽׁלִשָׁ֖יו טֻבְּע֥וּ בְיַם־סֽוּף׃
תְּהֹמֹ֖ת יְכַסְיֻ֑מוּ יָרְד֥וּ בִמְצוֹלֹ֖ת כְּמוֹ־אָֽבֶן׃
יְמִֽינְךָ֣ יְהוָ֔ה נֶאְדָּרִ֖י בַּכֹּ֑חַ יְמִֽינְךָ֥ יְהוָ֖ה תִּרְעַ֥ץ אוֹיֵֽב׃
וּבְרֹ֥ב גְּאוֹנְךָ֖ תַּהֲרֹ֣ס קָמֶ֑יךָ תְּשַׁלַּח֙ חֲרֹ֣נְךָ֔ יֹאכְלֵ֖מוֹ כַּקַּֽשׁ׃
וּבְר֤וּחַ אַפֶּ֙יךָ֙ נֶ֣עֶרְמוּ מַ֔יִם נִצְּב֥וּ כְמוֹ־נֵ֖ד נֹזְלִ֑ים קָֽפְא֥וּ תְהֹמֹ֖ת בְּלֶב־יָֽם׃
אָמַ֥ר אוֹיֵ֛ב אֶרְדֹּ֥ף אַשִּׂ֖יג אֲחַלֵּ֣ק שָׁלָ֑ל תִּמְלָאֵ֣מוֹ נַפְשִׁ֔י אָרִ֣יק חַרְבִּ֔י תּוֹרִישֵׁ֖מוֹ יָדִֽי׃
נָשַׁ֥פְתָּ בְרוּחֲךָ֖ כִּסָּ֣מוֹ יָ֑ם צָֽלֲלוּ֙ כַּֽעוֹפֶ֔רֶת בְּמַ֖יִם אַדִּירִֽים׃
מִֽי־כָמֹ֤כָה בָּֽאֵלִם֙ יְהוָ֔ה מִ֥י כָּמֹ֖כָה נֶאְדָּ֣ר בַּקֹּ֑דֶשׁ נוֹרָ֥א תְהִלֹּ֖ת עֹ֥שֵׂה פֶֽלֶא׃
נָטִ֙יתָ֙ יְמִ֣ינְךָ֔ תִּבְלָעֵ֖מוֹ אָֽרֶץ׃
נָחִ֥יתָ בְחַסְדְּךָ֖ עַם־ז֣וּ גָּאָ֑לְתָּ נֵהַ֥לְתָּ בְעָזְּךָ֖ אֶל־נְוֵ֥ה קָדְשֶֽׁךָ׃
שָֽׁמְע֥וּ עַמִּ֖ים יִרְגָּז֑וּן חִ֣יל אָחַ֔ז יֹשְׁבֵ֖י פְּלָֽשֶׁת׃
אָ֤ז נִבְהֲלוּ֙ אַלּוּפֵ֣י אֱד֔וֹם אֵילֵ֣י מוֹאָ֔ב יֹֽאחֲזֵ֖מוֹ רָ֑עַד נָמֹ֕גוּ כֹּ֖ל יֹשְׁבֵ֥י כְנָֽעַן׃
תִּפֹּ֨ל עֲלֵיהֶ֤ם אֵימָ֙תָה֙ וָפַ֔חַד בִּגְדֹ֥ל זְרוֹעֲךָ֖ יִדְּמ֣וּ כָּאָ֑בֶן עַד־יַעֲבֹ֤ר עַמְּךָ֙ יְהוָ֔ה עַֽד־יַעֲבֹ֖ר עַם־ז֥וּ קָנִֽיתָ׃
תְּבִאֵ֗מוֹ וְתִטָּעֵ֙מוֹ֙ בְּהַ֣ר נַחֲלָֽתְךָ֔ מָכ֧וֹן לְשִׁבְתְּךָ֛ פָּעַ֖לְתָּ יְהוָ֑ה מִקְּדָ֕שׁ אֲדֹנָ֖י כּוֹנְנ֥וּ יָדֶֽיךָ׃
יְהוָ֥ה ׀ יִמְלֹ֖ךְ לְעֹלָ֥ם וָעֶֽד׃
כִּ֣י בָא֩ ס֨וּס פַּרְעֹ֜ה בְּרִכְבּ֤וֹ וּבְפָרָשָׁיו֙ בַּיָּ֔ם וַיָּ֧שֶׁב יְהוָ֛ה עֲלֵהֶ֖ם אֶת־מֵ֣י הַיָּ֑ם וּבְנֵ֧י יִשְׂרָאֵ֛ל הָלְכ֥וּ בַיַּבָּשָׁ֖ה בְּת֥וֹךְ הַיָּֽם׃ (פ)</t>
        </is>
      </c>
      <c r="F531" s="10" t="inlineStr"/>
      <c r="G531" s="14" t="inlineStr">
        <is>
          <t>Exodus 15:1-19</t>
        </is>
      </c>
      <c r="H531" s="12" t="inlineStr">
        <is>
          <t>Tanach with Ta'amei Hamikra — Public Domain</t>
        </is>
      </c>
      <c r="I531" s="12" t="inlineStr">
        <is>
          <t>research-exodus-15-1-19</t>
        </is>
      </c>
    </row>
    <row r="532" ht="80" customHeight="1">
      <c r="A532" s="7">
        <f>IF(LEN(TRIM(F532))=0,"Approved","Comment to address")</f>
        <v/>
      </c>
      <c r="B532" s="8" t="inlineStr">
        <is>
          <t>Miriam leads a song of praise</t>
        </is>
      </c>
      <c r="C532" s="8" t="inlineStr">
        <is>
          <t>thanks</t>
        </is>
      </c>
      <c r="D532" s="8" t="inlineStr">
        <is>
          <t>Scriptural</t>
        </is>
      </c>
      <c r="E532" s="9" t="inlineStr">
        <is>
          <t>וַתִּקַּח֩ מִרְיָ֨ם הַנְּבִיאָ֜ה אֲח֧וֹת אַהֲרֹ֛ן אֶת־הַתֹּ֖ף בְּיָדָ֑הּ וַתֵּצֶ֤אןָ כָֽל־הַנָּשִׁים֙ אַחֲרֶ֔יהָ בְּתֻפִּ֖ים וּבִמְחֹלֹֽת׃
וַתַּ֥עַן לָהֶ֖ם מִרְיָ֑ם שִׁ֤ירוּ לַֽיהוָה֙ כִּֽי־גָאֹ֣ה גָּאָ֔ה ס֥וּס וְרֹכְב֖וֹ רָמָ֥ה בַיָּֽם׃ (ס)</t>
        </is>
      </c>
      <c r="F532" s="10" t="inlineStr"/>
      <c r="G532" s="11" t="inlineStr">
        <is>
          <t>Exodus 15:20-21</t>
        </is>
      </c>
      <c r="H532" s="8" t="inlineStr">
        <is>
          <t>Tanach with Ta'amei Hamikra — Public Domain</t>
        </is>
      </c>
      <c r="I532" s="8" t="inlineStr">
        <is>
          <t>research-exodus-15-20-21</t>
        </is>
      </c>
    </row>
    <row r="533" ht="182" customHeight="1">
      <c r="A533" s="7">
        <f>IF(LEN(TRIM(F533))=0,"Approved","Comment to address")</f>
        <v/>
      </c>
      <c r="B533" s="12" t="inlineStr">
        <is>
          <t>Moses intercedes for Israel</t>
        </is>
      </c>
      <c r="C533" s="12" t="inlineStr">
        <is>
          <t>repentance</t>
        </is>
      </c>
      <c r="D533" s="12" t="inlineStr">
        <is>
          <t>Scriptural</t>
        </is>
      </c>
      <c r="E533" s="13" t="inlineStr">
        <is>
          <t>וַיְחַ֣ל מֹשֶׁ֔ה אֶת־פְּנֵ֖י יְהוָ֣ה אֱלֹהָ֑יו וַיֹּ֗אמֶר לָמָ֤ה יְהוָה֙ יֶחֱרֶ֤ה אַפְּךָ֙ בְּעַמֶּ֔ךָ אֲשֶׁ֤ר הוֹצֵ֙אתָ֙ מֵאֶ֣רֶץ מִצְרַ֔יִם בְּכֹ֥חַ גָּד֖וֹל וּבְיָ֥ד חֲזָקָֽה׃
לָמָּה֩ יֹאמְר֨וּ מִצְרַ֜יִם לֵאמֹ֗ר בְּרָעָ֤ה הֽוֹצִיאָם֙ לַהֲרֹ֤ג אֹתָם֙ בֶּֽהָרִ֔ים וּ֨לְכַלֹּתָ֔ם מֵעַ֖ל פְּנֵ֣י הָֽאֲדָמָ֑ה שׁ֚וּב מֵחֲר֣וֹן אַפֶּ֔ךָ וְהִנָּחֵ֥ם עַל־הָרָעָ֖ה לְעַמֶּֽךָ׃
זְכֹ֡ר לְאַבְרָהָם֩ לְיִצְחָ֨ק וּלְיִשְׂרָאֵ֜ל עֲבָדֶ֗יךָ אֲשֶׁ֨ר נִשְׁבַּ֣עְתָּ לָהֶם֮ בָּךְ֒ וַתְּדַבֵּ֣ר אֲלֵהֶ֔ם אַרְבֶּה֙ אֶֽת־זַרְעֲכֶ֔ם כְּכוֹכְבֵ֖י הַשָּׁמָ֑יִם וְכָל־הָאָ֨רֶץ הַזֹּ֜את אֲשֶׁ֣ר אָמַ֗רְתִּי אֶתֵּן֙ לְזַרְעֲכֶ֔ם וְנָחֲל֖וּ לְעֹלָֽם׃</t>
        </is>
      </c>
      <c r="F533" s="10" t="inlineStr"/>
      <c r="G533" s="14" t="inlineStr">
        <is>
          <t>Exodus 32:11-13</t>
        </is>
      </c>
      <c r="H533" s="12" t="inlineStr">
        <is>
          <t>Tanach with Ta'amei Hamikra — Public Domain</t>
        </is>
      </c>
      <c r="I533" s="12" t="inlineStr">
        <is>
          <t>research-exodus-32-11-13</t>
        </is>
      </c>
    </row>
    <row r="534" ht="97" customHeight="1">
      <c r="A534" s="7">
        <f>IF(LEN(TRIM(F534))=0,"Approved","Comment to address")</f>
        <v/>
      </c>
      <c r="B534" s="8" t="inlineStr">
        <is>
          <t>Thirteen Attributes source passage</t>
        </is>
      </c>
      <c r="C534" s="8" t="inlineStr">
        <is>
          <t>repentance</t>
        </is>
      </c>
      <c r="D534" s="8" t="inlineStr">
        <is>
          <t>Scriptural</t>
        </is>
      </c>
      <c r="E534" s="9" t="inlineStr">
        <is>
          <t>וַיַּעֲבֹ֨ר יְהוָ֥ה ׀ עַל־פָּנָיו֮ וַיִּקְרָא֒ יְהוָ֣ה ׀ יְהוָ֔ה אֵ֥ל רַח֖וּם וְחַנּ֑וּן אֶ֥רֶךְ אַפַּ֖יִם וְרַב־חֶ֥סֶד וֶאֱמֶֽת ׀
נֹצֵ֥ר חֶ֙סֶד֙ לָאֲלָפִ֔ים נֹשֵׂ֥א עָוֺ֛ן וָפֶ֖שַׁע וְחַטָּאָ֑ה וְנַקֵּה֙ לֹ֣א יְנַקֶּ֔ה פֹּקֵ֣ד ׀ עֲוֺ֣ן אָב֗וֹת עַל־בָּנִים֙ וְעַל־בְּנֵ֣י בָנִ֔ים עַל־שִׁלֵּשִׁ֖ים וְעַל־רִבֵּעִֽים׃</t>
        </is>
      </c>
      <c r="F534" s="10" t="inlineStr"/>
      <c r="G534" s="11" t="inlineStr">
        <is>
          <t>Exodus 34:6-7</t>
        </is>
      </c>
      <c r="H534" s="8" t="inlineStr">
        <is>
          <t>Tanach with Ta'amei Hamikra — Public Domain</t>
        </is>
      </c>
      <c r="I534" s="8" t="inlineStr">
        <is>
          <t>research-exodus-34-6-7</t>
        </is>
      </c>
    </row>
    <row r="535" ht="63" customHeight="1">
      <c r="A535" s="7">
        <f>IF(LEN(TRIM(F535))=0,"Approved","Comment to address")</f>
        <v/>
      </c>
      <c r="B535" s="12" t="inlineStr">
        <is>
          <t>Verses when the ark sets out and rests</t>
        </is>
      </c>
      <c r="C535" s="12" t="inlineStr">
        <is>
          <t>protection</t>
        </is>
      </c>
      <c r="D535" s="12" t="inlineStr">
        <is>
          <t>Scriptural</t>
        </is>
      </c>
      <c r="E535" s="13" t="inlineStr">
        <is>
          <t>וַיְהִ֛י בִּנְסֹ֥עַ הָאָרֹ֖ן וַיֹּ֣אמֶר מֹשֶׁ֑ה קוּמָ֣ה ׀ יְהוָ֗ה וְיָפֻ֙צוּ֙ אֹֽיְבֶ֔יךָ וְיָנֻ֥סוּ מְשַׂנְאֶ֖יךָ מִפָּנֶֽיךָ׃
וּבְנֻחֹ֖ה יֹאמַ֑ר שׁוּבָ֣ה יְהוָ֔ה רִֽבְב֖וֹת אַלְפֵ֥י יִשְׂרָאֵֽל׃ (׆) (ס)</t>
        </is>
      </c>
      <c r="F535" s="10" t="inlineStr"/>
      <c r="G535" s="14" t="inlineStr">
        <is>
          <t>Numbers 10:35-36</t>
        </is>
      </c>
      <c r="H535" s="12" t="inlineStr">
        <is>
          <t>Tanach with Ta'amei Hamikra — Public Domain</t>
        </is>
      </c>
      <c r="I535" s="12" t="inlineStr">
        <is>
          <t>research-numbers-10-35-36</t>
        </is>
      </c>
    </row>
    <row r="536" ht="40" customHeight="1">
      <c r="A536" s="7">
        <f>IF(LEN(TRIM(F536))=0,"Approved","Comment to address")</f>
        <v/>
      </c>
      <c r="B536" s="8" t="inlineStr">
        <is>
          <t>Moses asks for Miriam's healing</t>
        </is>
      </c>
      <c r="C536" s="8" t="inlineStr">
        <is>
          <t>health</t>
        </is>
      </c>
      <c r="D536" s="8" t="inlineStr">
        <is>
          <t>Scriptural</t>
        </is>
      </c>
      <c r="E536" s="9" t="inlineStr">
        <is>
          <t>וַיִּצְעַ֣ק מֹשֶׁ֔ה אֶל־יְהוָ֖ה לֵאמֹ֑ר אֵ֕ל נָ֛א רְפָ֥א נָ֖א לָֽהּ׃ (פ)</t>
        </is>
      </c>
      <c r="F536" s="10" t="inlineStr"/>
      <c r="G536" s="11" t="inlineStr">
        <is>
          <t>Numbers 12:13</t>
        </is>
      </c>
      <c r="H536" s="8" t="inlineStr">
        <is>
          <t>Tanach with Ta'amei Hamikra — Public Domain</t>
        </is>
      </c>
      <c r="I536" s="8" t="inlineStr">
        <is>
          <t>research-numbers-12-13</t>
        </is>
      </c>
    </row>
    <row r="537" ht="114" customHeight="1">
      <c r="A537" s="7">
        <f>IF(LEN(TRIM(F537))=0,"Approved","Comment to address")</f>
        <v/>
      </c>
      <c r="B537" s="12" t="inlineStr">
        <is>
          <t>Moses asks to enter the land</t>
        </is>
      </c>
      <c r="C537" s="12" t="inlineStr">
        <is>
          <t>source</t>
        </is>
      </c>
      <c r="D537" s="12" t="inlineStr">
        <is>
          <t>Scriptural</t>
        </is>
      </c>
      <c r="E537" s="13" t="inlineStr">
        <is>
          <t>וָאֶתְחַנַּ֖ן אֶל־יְהוָ֑ה בָּעֵ֥ת הַהִ֖וא לֵאמֹֽר׃
אֲדֹנָ֣י יְהוִ֗ה אַתָּ֤ה הַֽחִלּ֙וֹתָ֙ לְהַרְא֣וֹת אֶֽת־עַבְדְּךָ֔ אֶ֨ת־גָּדְלְךָ֔ וְאֶת־יָדְךָ֖ הַחֲזָקָ֑ה אֲשֶׁ֤ר מִי־אֵל֙ בַּשָּׁמַ֣יִם וּבָאָ֔רֶץ אֲשֶׁר־יַעֲשֶׂ֥ה כְמַעֲשֶׂ֖יךָ וְכִגְבוּרֹתֶֽךָ׃
אֶעְבְּרָה־נָּ֗א וְאֶרְאֶה֙ אֶת־הָאָ֣רֶץ הַטּוֹבָ֔ה אֲשֶׁ֖ר בְּעֵ֣בֶר הַיַּרְדֵּ֑ן הָהָ֥ר הַטּ֛וֹב הַזֶּ֖ה וְהַלְּבָנֽוֹן׃</t>
        </is>
      </c>
      <c r="F537" s="10" t="inlineStr"/>
      <c r="G537" s="14" t="inlineStr">
        <is>
          <t>Deuteronomy 3:23-25</t>
        </is>
      </c>
      <c r="H537" s="12" t="inlineStr">
        <is>
          <t>Tanach with Ta'amei Hamikra — Public Domain</t>
        </is>
      </c>
      <c r="I537" s="12" t="inlineStr">
        <is>
          <t>research-deuteronomy-3-23-25</t>
        </is>
      </c>
    </row>
    <row r="538" ht="318" customHeight="1">
      <c r="A538" s="7">
        <f>IF(LEN(TRIM(F538))=0,"Approved","Comment to address")</f>
        <v/>
      </c>
      <c r="B538" s="8" t="inlineStr">
        <is>
          <t>Vehayah im shamoa: second biblical paragraph</t>
        </is>
      </c>
      <c r="C538" s="8" t="inlineStr">
        <is>
          <t>study</t>
        </is>
      </c>
      <c r="D538" s="8" t="inlineStr">
        <is>
          <t>Scriptural</t>
        </is>
      </c>
      <c r="E538" s="9" t="inlineStr">
        <is>
          <t>וְהָיָ֗ה אִם־שָׁמֹ֤עַ תִּשְׁמְעוּ֙ אֶל־מִצְוֺתַ֔י אֲשֶׁ֧ר אָנֹכִ֛י מְצַוֶּ֥ה אֶתְכֶ֖ם הַיּ֑וֹם לְאַהֲבָ֞ה אֶת־יְהוָ֤ה אֱלֹֽהֵיכֶם֙ וּלְעָבְד֔וֹ בְּכָל־לְבַבְכֶ֖ם וּבְכָל־נַפְשְׁכֶֽם׃
וְנָתַתִּ֧י מְטַֽר־אַרְצְכֶ֛ם בְּעִתּ֖וֹ יוֹרֶ֣ה וּמַלְק֑וֹשׁ וְאָסַפְתָּ֣ דְגָנֶ֔ךָ וְתִֽירֹשְׁךָ֖ וְיִצְהָרֶֽךָ׃
וְנָתַתִּ֛י עֵ֥שֶׂב בְּשָׂדְךָ֖ לִבְהֶמְתֶּ֑ךָ וְאָכַלְתָּ֖ וְשָׂבָֽעְתָּ׃
הִשָּֽׁמְר֣וּ לָכֶ֔ם פֶּ֥ן יִפְתֶּ֖ה לְבַבְכֶ֑ם וְסַרְתֶּ֗ם וַעֲבַדְתֶּם֙ אֱלֹהִ֣ים אֲחֵרִ֔ים וְהִשְׁתַּחֲוִיתֶ֖ם לָהֶֽם׃
וְחָרָ֨ה אַף־יְהוָ֜ה בָּכֶ֗ם וְעָצַ֤ר אֶת־הַשָּׁמַ֙יִם֙ וְלֹֽא־יִהְיֶ֣ה מָטָ֔ר וְהָ֣אֲדָמָ֔ה לֹ֥א תִתֵּ֖ן אֶת־יְבוּלָ֑הּ וַאֲבַדְתֶּ֣ם מְהֵרָ֗ה מֵעַל֙ הָאָ֣רֶץ הַטֹּבָ֔ה אֲשֶׁ֥ר יְהוָ֖ה נֹתֵ֥ן לָכֶֽם׃
וְשַׂמְתֶּם֙ אֶת־דְּבָרַ֣י אֵ֔לֶּה עַל־לְבַבְכֶ֖ם וְעַֽל־נַפְשְׁכֶ֑ם וּקְשַׁרְתֶּ֨ם אֹתָ֤ם לְאוֹת֙ עַל־יֶדְכֶ֔ם וְהָי֥וּ לְטוֹטָפֹ֖ת בֵּ֥ין עֵינֵיכֶֽם׃
וְלִמַּדְתֶּ֥ם אֹתָ֛ם אֶת־בְּנֵיכֶ֖ם לְדַבֵּ֣ר בָּ֑ם בְּשִׁבְתְּךָ֤ בְּבֵיתֶ֙ךָ֙ וּבְלֶכְתְּךָ֣ בַדֶּ֔רֶךְ וּֽבְשָׁכְבְּךָ֖ וּבְקוּמֶֽךָ׃
וּכְתַבְתָּ֛ם עַל־מְזוּז֥וֹת בֵּיתֶ֖ךָ וּבִשְׁעָרֶֽיךָ׃
לְמַ֨עַן יִרְבּ֤וּ יְמֵיכֶם֙ וִימֵ֣י בְנֵיכֶ֔ם עַ֚ל הָֽאֲדָמָ֔ה אֲשֶׁ֨ר נִשְׁבַּ֧ע יְהוָ֛ה לַאֲבֹתֵיכֶ֖ם לָתֵ֣ת לָהֶ֑ם כִּימֵ֥י הַשָּׁמַ֖יִם עַל־הָאָֽרֶץ׃ (ס)</t>
        </is>
      </c>
      <c r="F538" s="10" t="inlineStr"/>
      <c r="G538" s="11" t="inlineStr">
        <is>
          <t>Deuteronomy 11:13-21</t>
        </is>
      </c>
      <c r="H538" s="8" t="inlineStr">
        <is>
          <t>Tanach with Ta'amei Hamikra — Public Domain</t>
        </is>
      </c>
      <c r="I538" s="8" t="inlineStr">
        <is>
          <t>research-deuteronomy-11-13-21</t>
        </is>
      </c>
    </row>
    <row r="539" ht="199" customHeight="1">
      <c r="A539" s="7">
        <f>IF(LEN(TRIM(F539))=0,"Approved","Comment to address")</f>
        <v/>
      </c>
      <c r="B539" s="12" t="inlineStr">
        <is>
          <t>Vayomer: third biblical paragraph</t>
        </is>
      </c>
      <c r="C539" s="12" t="inlineStr">
        <is>
          <t>source</t>
        </is>
      </c>
      <c r="D539" s="12" t="inlineStr">
        <is>
          <t>Scriptural</t>
        </is>
      </c>
      <c r="E539" s="13" t="inlineStr">
        <is>
          <t>וַיֹּ֥אמֶר יְהוָ֖ה אֶל־מֹשֶׁ֥ה לֵּאמֹֽר׃
דַּבֵּ֞ר אֶל־בְּנֵ֤י יִשְׂרָאֵל֙ וְאָמַרְתָּ֣ אֲלֵהֶ֔ם וְעָשׂ֨וּ לָהֶ֥ם צִיצִ֛ת עַל־כַּנְפֵ֥י בִגְדֵיהֶ֖ם לְדֹרֹתָ֑ם וְנָֽתְנ֛וּ עַל־צִיצִ֥ת הַכָּנָ֖ף פְּתִ֥יל תְּכֵֽלֶת׃
וְהָיָ֣ה לָכֶם֮ לְצִיצִת֒ וּרְאִיתֶ֣ם אֹת֗וֹ וּזְכַרְתֶּם֙ אֶת־כָּל־מִצְוֺ֣ת יְהוָ֔ה וַעֲשִׂיתֶ֖ם אֹתָ֑ם וְלֹֽא־תָתֻ֜רוּ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(פ)</t>
        </is>
      </c>
      <c r="F539" s="10" t="inlineStr"/>
      <c r="G539" s="14" t="inlineStr">
        <is>
          <t>Numbers 15:37-41</t>
        </is>
      </c>
      <c r="H539" s="12" t="inlineStr">
        <is>
          <t>Tanach with Ta'amei Hamikra — Public Domain</t>
        </is>
      </c>
      <c r="I539" s="12" t="inlineStr">
        <is>
          <t>research-numbers-15-37-41</t>
        </is>
      </c>
    </row>
    <row r="540" ht="165" customHeight="1">
      <c r="A540" s="7">
        <f>IF(LEN(TRIM(F540))=0,"Approved","Comment to address")</f>
        <v/>
      </c>
      <c r="B540" s="8" t="inlineStr">
        <is>
          <t>Declaration after tithing and appeal for blessing</t>
        </is>
      </c>
      <c r="C540" s="8" t="inlineStr">
        <is>
          <t>success</t>
        </is>
      </c>
      <c r="D540" s="8" t="inlineStr">
        <is>
          <t>Scriptural</t>
        </is>
      </c>
      <c r="E540" s="9" t="inlineStr">
        <is>
          <t>וְאָמַרְתָּ֡ לִפְנֵי֩ יְהוָ֨ה אֱלֹהֶ֜יךָ בִּעַ֧רְתִּי הַקֹּ֣דֶשׁ מִן־הַבַּ֗יִת וְגַ֨ם נְתַתִּ֤יו לַלֵּוִי֙ וְלַגֵּר֙ לַיָּת֣וֹם וְלָאַלְמָנָ֔ה כְּכָל־מִצְוָתְךָ֖ אֲשֶׁ֣ר צִוִּיתָ֑נִי לֹֽא־עָבַ֥רְתִּי מִמִּצְוֺתֶ֖יךָ וְלֹ֥א שָׁכָֽחְתִּי׃
לֹא־אָכַ֨לְתִּי בְאֹנִ֜י מִמֶּ֗נּוּ וְלֹא־בִעַ֤רְתִּי מִמֶּ֙נּוּ֙ בְּטָמֵ֔א וְלֹא־נָתַ֥תִּי מִמֶּ֖נּוּ לְמֵ֑ת שָׁמַ֗עְתִּי בְּקוֹל֙ יְהוָ֣ה אֱלֹהָ֔י עָשִׂ֕יתִי כְּכֹ֖ל אֲשֶׁ֥ר צִוִּיתָֽנִי׃
הַשְׁקִיפָה֩ מִמְּע֨וֹן קָדְשְׁךָ֜ מִן־הַשָּׁמַ֗יִם וּבָרֵ֤ךְ אֶֽת־עַמְּךָ֙ אֶת־יִשְׂרָאֵ֔ל וְאֵת֙ הָאֲדָמָ֔ה אֲשֶׁ֥ר נָתַ֖תָּה לָ֑נוּ כַּאֲשֶׁ֤ר נִשְׁבַּ֙עְתָּ֙ לַאֲבֹתֵ֔ינוּ אֶ֛רֶץ זָבַ֥ת חָלָ֖ב וּדְבָֽשׁ׃ (ס)</t>
        </is>
      </c>
      <c r="F540" s="10" t="inlineStr"/>
      <c r="G540" s="11" t="inlineStr">
        <is>
          <t>Deuteronomy 26:13-15</t>
        </is>
      </c>
      <c r="H540" s="8" t="inlineStr">
        <is>
          <t>Tanach with Ta'amei Hamikra — Public Domain</t>
        </is>
      </c>
      <c r="I540" s="8" t="inlineStr">
        <is>
          <t>research-deuteronomy-26-13-15</t>
        </is>
      </c>
    </row>
    <row r="541" ht="97" customHeight="1">
      <c r="A541" s="7">
        <f>IF(LEN(TRIM(F541))=0,"Approved","Comment to address")</f>
        <v/>
      </c>
      <c r="B541" s="12" t="inlineStr">
        <is>
          <t>Hannah's petition</t>
        </is>
      </c>
      <c r="C541" s="12" t="inlineStr">
        <is>
          <t>source</t>
        </is>
      </c>
      <c r="D541" s="12" t="inlineStr">
        <is>
          <t>Scriptural</t>
        </is>
      </c>
      <c r="E541" s="13" t="inlineStr">
        <is>
          <t>וְהִ֖יא מָ֣רַת נָ֑פֶשׁ וַתִּתְפַּלֵּ֥ל עַל־יְהוָ֖ה וּבָכֹ֥ה תִבְכֶּֽה׃
וַתִּדֹּ֨ר נֶ֜דֶר וַתֹּאמַ֗ר יְהוָ֨ה צְבָא֜וֹת אִם־רָאֹ֥ה תִרְאֶ֣ה ׀ בָּעֳנִ֣י אֲמָתֶ֗ךָ וּזְכַרְתַּ֙נִי֙ וְלֹֽא־תִשְׁכַּ֣ח אֶת־אֲמָתֶ֔ךָ וְנָתַתָּ֥ה לַאֲמָתְךָ֖ זֶ֣רַע אֲנָשִׁ֑ים וּנְתַתִּ֤יו לַֽיהוָה֙ כָּל־יְמֵ֣י חַיָּ֔יו וּמוֹרָ֖ה לֹא־יַעֲלֶ֥ה עַל־רֹאשֽׁוֹ׃</t>
        </is>
      </c>
      <c r="F541" s="10" t="inlineStr"/>
      <c r="G541" s="14" t="inlineStr">
        <is>
          <t>I Samuel 1:10-11</t>
        </is>
      </c>
      <c r="H541" s="12" t="inlineStr">
        <is>
          <t>Tanach with Ta'amei Hamikra — Public Domain</t>
        </is>
      </c>
      <c r="I541" s="12" t="inlineStr">
        <is>
          <t>research-i-samuel-1-10-11</t>
        </is>
      </c>
    </row>
    <row r="542" ht="301" customHeight="1">
      <c r="A542" s="7">
        <f>IF(LEN(TRIM(F542))=0,"Approved","Comment to address")</f>
        <v/>
      </c>
      <c r="B542" s="8" t="inlineStr">
        <is>
          <t>Hannah's prayer of thanksgiving</t>
        </is>
      </c>
      <c r="C542" s="8" t="inlineStr">
        <is>
          <t>thanks</t>
        </is>
      </c>
      <c r="D542" s="8" t="inlineStr">
        <is>
          <t>Scriptural</t>
        </is>
      </c>
      <c r="E542" s="9" t="inlineStr">
        <is>
          <t>וַתִּתְפַּלֵּ֤ל חַנָּה֙ וַתֹּאמַ֔ר עָלַ֤ץ לִבִּי֙ בַּֽיהוָ֔ה רָ֥מָה קַרְנִ֖י בַּֽיהוָ֑ה רָ֤חַב פִּי֙ עַל־א֣וֹיְבַ֔י כִּ֥י שָׂמַ֖חְתִּי בִּישׁוּעָתֶֽךָ׃
אֵין־קָד֥וֹשׁ כַּיהוָ֖ה כִּ֣י אֵ֣ין בִּלְתֶּ֑ךָ וְאֵ֥ין צ֖וּר כֵּאלֹהֵֽינוּ׃
אַל־תַּרְבּ֤וּ תְדַבְּרוּ֙ גְּבֹהָ֣ה גְבֹהָ֔ה יֵצֵ֥א עָתָ֖ק מִפִּיכֶ֑ם כִּ֣י אֵ֤ל דֵּעוֹת֙ יְהוָ֔ה ולא [וְל֥וֹ] נִתְכְּנ֖וּ עֲלִלֽוֹת׃
קֶ֥שֶׁת גִּבֹּרִ֖ים חַתִּ֑ים וְנִכְשָׁלִ֖ים אָ֥זְרוּ חָֽיִל׃
שְׂבֵעִ֤ים בַּלֶּ֙חֶם֙ נִשְׂכָּ֔רוּ וּרְעֵבִ֖ים חָדֵ֑לּוּ עַד־עֲקָרָה֙ יָלְדָ֣ה שִׁבְעָ֔ה וְרַבַּ֥ת בָּנִ֖ים אֻמְלָֽלָה׃
יְהוָ֖ה מֵמִ֣ית וּמְחַיֶּ֑ה מוֹרִ֥יד שְׁא֖וֹל וַיָּֽעַל׃
יְהוָ֖ה מוֹרִ֣ישׁ וּמַעֲשִׁ֑יר מַשְׁפִּ֖יל אַף־מְרוֹמֵֽם׃
מֵקִ֨ים מֵעָפָ֜ר דָּ֗ל מֵֽאַשְׁפֹּת֙ יָרִ֣ים אֶבְי֔וֹן לְהוֹשִׁיב֙ עִם־נְדִיבִ֔ים וְכִסֵּ֥א כָב֖וֹד יַנְחִלֵ֑ם כִּ֤י לַֽיהוָה֙ מְצֻ֣קֵי אֶ֔רֶץ וַיָּ֥שֶׁת עֲלֵיהֶ֖ם תֵּבֵֽל׃
רַגְלֵ֤י חסידו [חֲסִידָיו֙] יִשְׁמֹ֔ר וּרְשָׁעִ֖ים בַּחֹ֣שֶׁךְ יִדָּ֑מּוּ כִּֽי־לֹ֥א בְכֹ֖חַ יִגְבַּר־אִֽישׁ׃
יְהוָ֞ה יֵחַ֣תּוּ מריבו [מְרִיבָ֗יו] עלו [עָלָיו֙] בַּשָּׁמַ֣יִם יַרְעֵ֔ם יְהוָ֖ה יָדִ֣ין אַפְסֵי־אָ֑רֶץ וְיִתֶּן־עֹ֣ז לְמַלְכּ֔וֹ וְיָרֵ֖ם קֶ֥רֶן מְשִׁיחֽוֹ׃ (פ)</t>
        </is>
      </c>
      <c r="F542" s="10" t="inlineStr"/>
      <c r="G542" s="11" t="inlineStr">
        <is>
          <t>I Samuel 2:1-10</t>
        </is>
      </c>
      <c r="H542" s="8" t="inlineStr">
        <is>
          <t>Tanach with Ta'amei Hamikra — Public Domain</t>
        </is>
      </c>
      <c r="I542" s="8" t="inlineStr">
        <is>
          <t>research-i-samuel-2-1-10</t>
        </is>
      </c>
    </row>
    <row r="543" ht="409" customHeight="1">
      <c r="A543" s="7">
        <f>IF(LEN(TRIM(F543))=0,"Approved","Comment to address")</f>
        <v/>
      </c>
      <c r="B543" s="12" t="inlineStr">
        <is>
          <t>David's prayer concerning his house</t>
        </is>
      </c>
      <c r="C543" s="12" t="inlineStr">
        <is>
          <t>source</t>
        </is>
      </c>
      <c r="D543" s="12" t="inlineStr">
        <is>
          <t>Scriptural</t>
        </is>
      </c>
      <c r="E543" s="13" t="inlineStr">
        <is>
          <t>וַיָּבֹא֙ הַמֶּ֣לֶךְ דָּוִ֔ד וַיֵּ֖שֶׁב לִפְנֵ֣י יְהוָ֑ה וַיֹּ֗אמֶר מִ֣י אָנֹכִ֞י אֲדֹנָ֤י יְהוִה֙ וּמִ֣י בֵיתִ֔י כִּ֥י הֲבִיאֹתַ֖נִי עַד־הֲלֹֽם׃
וַתִּקְטַן֩ ע֨וֹד זֹ֤את בְּעֵינֶ֙יךָ֙ אֲדֹנָ֣י יְהוִ֔ה וַתְּדַבֵּ֛ר גַּ֥ם אֶל־בֵּֽית־עַבְדְּךָ֖ לְמֵֽרָח֑וֹק וְזֹ֛את תּוֹרַ֥ת הָאָדָ֖ם אֲדֹנָ֥י יְהוִֽה׃
וּמַה־יּוֹסִ֥יף דָּוִ֛ד ע֖וֹד לְדַבֵּ֣ר אֵלֶ֑יךָ וְאַתָּ֛ה יָדַ֥עְתָּ אֶֽת־עַבְדְּךָ֖ אֲדֹנָ֥י יְהוִֽה׃
בַּעֲב֤וּר דְּבָֽרְךָ֙ וּֽכְלִבְּךָ֔ עָשִׂ֕יתָ אֵ֥ת כָּל־הַגְּדוּלָּ֖ה הַזֹּ֑את לְהוֹדִ֖יעַ אֶת־עַבְדֶּֽךָ׃
עַל־כֵּ֥ן גָּדַ֖לְתָּ אֲדֹנָ֣י יְהוִ֑ה כִּֽי־אֵ֣ין כָּמ֗וֹךָ וְאֵ֤ין אֱלֹהִים֙ זֽוּלָתֶ֔ךָ בְּכֹ֥ל אֲשֶׁר־שָׁמַ֖עְנוּ בְּאָזְנֵֽינוּ׃
וּמִ֤י כְעַמְּךָ֙ כְּיִשְׂרָאֵ֔ל גּ֥וֹי אֶחָ֖ד בָּאָ֑רֶץ אֲשֶׁ֣ר הָלְכֽוּ־אֱ֠לֹהִים לִפְדּֽוֹת־ל֨וֹ לְעָ֜ם וְלָשׂ֧וּם ל֣וֹ שֵׁ֗ם וְלַעֲשׂ֨וֹת לָכֶ֜ם הַגְּדוּלָּ֤ה וְנֹֽרָאוֹת֙ לְאַרְצֶ֔ךָ מִפְּנֵ֣י עַמְּךָ֗ אֲשֶׁ֨ר פָּדִ֤יתָ לְּךָ֙ מִמִּצְרַ֔יִם גּוֹיִ֖ם וֵאלֹהָֽיו׃
וַתְּכ֣וֹנֵֽן לְ֠ךָ אֶת־עַמְּךָ֨ יִשְׂרָאֵ֧ל ׀ לְךָ֛ לְעָ֖ם עַד־עוֹלָ֑ם וְאַתָּ֣ה יְהוָ֔ה הָיִ֥יתָ לָהֶ֖ם לֵאלֹהִֽים׃ (ס)
וְעַתָּה֙ יְהוָ֣ה אֱלֹהִ֔ים הַדָּבָ֗ר אֲשֶׁ֨ר דִּבַּ֤רְתָּ עַֽל־עַבְדְּךָ֙ וְעַל־בֵּית֔וֹ הָקֵ֖ם עַד־עוֹלָ֑ם וַעֲשֵׂ֖ה כַּאֲשֶׁ֥ר דִּבַּֽרְתָּ׃
וְיִגְדַּ֨ל שִׁמְךָ֤ עַד־עוֹלָם֙ לֵאמֹ֔ר יְהוָ֣ה צְבָא֔וֹת אֱלֹהִ֖ים עַל־יִשְׂרָאֵ֑ל וּבֵית֙ עַבְדְּךָ֣ דָוִ֔ד יִהְיֶ֥ה נָכ֖וֹן לְפָנֶֽיךָ׃
כִּֽי־אַתָּה֩ יְהוָ֨ה צְבָא֜וֹת אֱלֹהֵ֣י יִשְׂרָאֵ֗ל גָּלִ֜יתָה אֶת־אֹ֤זֶן עַבְדְּךָ֙ לֵאמֹ֔ר בַּ֖יִת אֶבְנֶה־לָּ֑ךְ עַל־כֵּ֗ן מָצָ֤א עַבְדְּךָ֙ אֶת־לִבּ֔וֹ לְהִתְפַּלֵּ֣ל אֵלֶ֔יךָ אֶת־הַתְּפִלָּ֖ה הַזֹּֽאת׃
וְעַתָּ֣ה ׀ אֲדֹנָ֣י יְהוִ֗ה אַתָּה־הוּא֙ הָֽאֱלֹהִ֔ים וּדְבָרֶ֖יךָ יִהְי֣וּ אֱמֶ֑ת וַתְּדַבֵּר֙ אֶֽל־עַבְדְּךָ֔ אֶת־הַטּוֹבָ֖ה הַזֹּֽאת׃
וְעַתָּ֗ה הוֹאֵל֙ וּבָרֵךְ֙ אֶת־בֵּ֣ית עַבְדְּךָ֔ לִהְי֥וֹת לְעוֹלָ֖ם לְפָנֶ֑יךָ כִּֽי־אַתָּ֞ה אֲדֹנָ֤י יְהוִה֙ דִּבַּ֔רְתָּ וּמִבִּרְכָ֣תְךָ֔ יְבֹרַ֥ךְ בֵּֽית־עַבְדְּךָ֖ לְעוֹלָֽם׃ (פ)</t>
        </is>
      </c>
      <c r="F543" s="10" t="inlineStr"/>
      <c r="G543" s="14" t="inlineStr">
        <is>
          <t>II Samuel 7:18-29</t>
        </is>
      </c>
      <c r="H543" s="12" t="inlineStr">
        <is>
          <t>Tanach with Ta'amei Hamikra — Public Domain</t>
        </is>
      </c>
      <c r="I543" s="12" t="inlineStr">
        <is>
          <t>research-ii-samuel-7-18-29</t>
        </is>
      </c>
    </row>
    <row r="544" ht="409" customHeight="1">
      <c r="A544" s="7">
        <f>IF(LEN(TRIM(F544))=0,"Approved","Comment to address")</f>
        <v/>
      </c>
      <c r="B544" s="8" t="inlineStr">
        <is>
          <t>David's song of deliverance</t>
        </is>
      </c>
      <c r="C544" s="8" t="inlineStr">
        <is>
          <t>protection</t>
        </is>
      </c>
      <c r="D544" s="8" t="inlineStr">
        <is>
          <t>Scriptural</t>
        </is>
      </c>
      <c r="E544" s="9" t="inlineStr">
        <is>
          <t>וַיְדַבֵּ֤ר דָּוִד֙ לַֽיהוָ֔ה אֶת־דִּבְרֵ֖י הַשִּׁירָ֣ה הַזֹּ֑את בְּיוֹם֩ הִצִּ֨יל יְהוָ֥ה אֹת֛וֹ מִכַּ֥ף כָּל־אֹיְבָ֖יו וּמִכַּ֥ף שָׁאֽוּל׃
וַיֹּאמַ֑ר יְהוָ֛ה סַֽלְעִ֥י וּמְצֻדָתִ֖י וּמְפַלְטִי־לִֽי׃
אֱלֹהֵ֥י צוּרִ֖י אֶחֱסֶה־בּ֑וֹ מָגִנִּ֞י וְקֶ֣רֶן יִשְׁעִ֗י מִשְׂגַּבִּי֙ וּמְנוּסִ֔י מֹשִׁעִ֕י מֵחָמָ֖ס תֹּשִׁעֵֽנִי׃
מְהֻלָּ֖ל אֶקְרָ֣א יְהוָ֑ה וּמֵאֹיְבַ֖י אִוָּשֵֽׁעַ׃
כִּ֥י אֲפָפֻ֖נִי מִשְׁבְּרֵי־מָ֑וֶת נַחֲלֵ֥י בְלִיַּ֖עַל יְבַעֲתֻֽנִי׃
חֶבְלֵ֥י שְׁא֖וֹל סַבֻּ֑נִי קִדְּמֻ֖נִי מֹֽקְשֵׁי־מָֽוֶת׃
בַּצַּר־לִי֙ אֶקְרָ֣א יְהוָ֔ה וְאֶל־אֱלֹהַ֖י אֶקְרָ֑א וַיִּשְׁמַ֤ע מֵהֵֽיכָלוֹ֙ קוֹלִ֔י וְשַׁוְעָתִ֖י בְּאָזְנָֽיו׃
ותגעש [וַיִּתְגָּעַ֤שׁ] וַתִּרְעַשׁ֙ הָאָ֔רֶץ מוֹסְד֥וֹת הַשָּׁמַ֖יִם יִרְגָּ֑זוּ וַיִּֽתְגָּעֲשׁ֖וּ כִּֽי־חָ֥רָה לֽוֹ׃
עָלָ֤ה עָשָׁן֙ בְּאַפּ֔וֹ וְאֵ֥שׁ מִפִּ֖יו תֹּאכֵ֑ל גֶּחָלִ֖ים בָּעֲר֥וּ מִמֶּֽנּוּ׃
וַיֵּ֥ט שָׁמַ֖יִם וַיֵּרַ֑ד וַעֲרָפֶ֖ל תַּ֥חַת רַגְלָֽיו׃
וַיִּרְכַּ֥ב עַל־כְּר֖וּב וַיָּעֹ֑ף וַיֵּרָ֖א עַל־כַּנְפֵי־רֽוּחַ׃
וַיָּ֥שֶׁת חֹ֛שֶׁךְ סְבִיבֹתָ֖יו סֻכּ֑וֹת חַֽשְׁרַת־מַ֖יִם עָבֵ֥י שְׁחָקִֽים׃
מִנֹּ֖גַהּ נֶגְדּ֑וֹ בָּעֲר֖וּ גַּחֲלֵי־אֵֽשׁ׃
יַרְעֵ֥ם מִן־שָׁמַ֖יִם יְהוָ֑ה וְעֶלְי֖וֹן יִתֵּ֥ן קוֹלֽוֹ׃
וַיִּשְׁלַ֥ח חִצִּ֖ים וַיְפִיצֵ֑ם בָּרָ֖ק ויהמם [וַיָּהֹֽם׃]
וַיֵּֽרָאוּ֙ אֲפִ֣קֵי יָ֔ם יִגָּל֖וּ מֹסְד֣וֹת תֵּבֵ֑ל בְּגַעֲרַ֣ת יְהוָ֔ה מִנִּשְׁמַ֖ת ר֥וּחַ אַפּֽוֹ׃
יִשְׁלַ֥ח מִמָּר֖וֹם יִקָּחֵ֑נִי יַֽמְשֵׁ֖נִי מִמַּ֥יִם רַבִּֽים׃
יַצִּילֵ֕נִי מֵאֹיְבִ֖י עָ֑ז מִשֹּׂ֣נְאַ֔י כִּ֥י אָמְצ֖וּ מִמֶּֽנִּי׃
יְקַדְּמֻ֖נִי בְּי֣וֹם אֵידִ֑י וַיְהִ֧י יְהוָ֛ה מִשְׁעָ֖ן לִֽי׃
וַיֹּצֵ֥א לַמֶּרְחָ֖ב אֹתִ֑י יְחַלְּצֵ֖נִי כִּי־חָ֥פֵֽץ בִּֽי׃
יִגְמְלֵ֥נִי יְהוָ֖ה כְּצִדְקָתִ֑י כְּבֹ֥ר יָדַ֖י יָשִׁ֥יב לִֽי׃
כִּ֥י שָׁמַ֖רְתִּי דַּרְכֵ֣י יְהוָ֑ה וְלֹ֥א רָשַׁ֖עְתִּי מֵאֱלֹהָֽי׃
כִּ֥י כָל־משפטו [מִשְׁפָּטָ֖יו] לְנֶגְדִּ֑י וְחֻקֹּתָ֖יו לֹא־אָס֥וּר מִמֶּֽנָּה׃
וָאֶהְיֶ֥ה תָמִ֖ים ל֑וֹ וָאֶשְׁתַּמְּרָ֖ה מֵעֲוֺנִֽי׃
וַיָּ֧שֶׁב יְהוָ֛ה לִ֖י כְּצִדְקָתִ֑י כְּבֹרִ֖י לְנֶ֥גֶד עֵינָֽיו׃
עִם־חָסִ֖יד תִּתְחַסָּ֑ד עִם־גִּבּ֥וֹר תָּמִ֖ים תִּתַּמָּֽם׃
עִם־נָבָ֖ר תִּתָּבָ֑ר וְעִם־עִקֵּ֖שׁ תִּתַּפָּֽל׃
וְאֶת־עַ֥ם עָנִ֖י תּוֹשִׁ֑יעַ וְעֵינֶ֖יךָ עַל־רָמִ֥ים תַּשְׁפִּֽיל׃
כִּֽי־אַתָּ֥ה נֵירִ֖י יְהוָ֑ה וַיהוָ֖ה יַגִּ֥יהַּ חָשְׁכִּֽי׃
כִּ֥י בְכָ֖ה אָר֣וּץ גְּד֑וּד בֵּאלֹהַ֖י אֲדַלֶּג־שֽׁוּר׃
הָאֵ֖ל תָּמִ֣ים דַּרְכּ֑וֹ אִמְרַ֤ת יְהוָה֙ צְרוּפָ֔ה מָגֵ֣ן ה֔וּא לְכֹ֖ל הַחֹסִ֥ים בּֽוֹ׃
כִּ֥י מִי־אֵ֖ל מִבַּלְעֲדֵ֣י יְהוָ֑ה וּמִ֥י צ֖וּר מִֽבַּלְעֲדֵ֥י אֱלֹהֵֽינוּ׃
הָאֵ֥ל מָעוּזִּ֖י חָ֑יִל וַיַּתֵּ֥ר תָּמִ֖ים דרכו [דַּרְכִּֽי׃]
מְשַׁוֶּ֥ה רגליו [רַגְלַ֖י] כָּאַיָּל֑וֹת וְעַ֥ל בָּמוֹתַ֖י יַעֲמִדֵֽנִי׃
מְלַמֵּ֥ד יָדַ֖י לַמִּלְחָמָ֑ה וְנִחַ֥ת קֶֽשֶׁת־נְחוּשָׁ֖ה זְרֹעֹתָֽי׃
וַתִּתֶּן־לִ֖י מָגֵ֣ן יִשְׁעֶ֑ךָ וַעֲנֹתְךָ֖ תַּרְבֵּֽנִי׃
תַּרְחִ֥יב צַעֲדִ֖י תַּחְתֵּ֑נִי וְלֹ֥א מָעֲד֖וּ קַרְסֻלָּֽי׃
אֶרְדְּפָ֥ה אֹיְבַ֖י וָאַשְׁמִידֵ֑ם וְלֹ֥א אָשׁ֖וּב עַד־כַּלּוֹתָֽם׃
וָאֲכַלֵּ֥ם וָאֶמְחָצֵ֖ם וְלֹ֣א יְקוּמ֑וּן וַֽיִּפְּל֖וּ תַּ֥חַת רַגְלָֽי׃
וַתַּזְרֵ֥נִי חַ֖יִל לַמִּלְחָמָ֑ה תַּכְרִ֥יעַ קָמַ֖י תַּחְתֵּֽנִי׃
וְאֹ֣יְבַ֔י תַּ֥תָּה לִּ֖י עֹ֑רֶף מְשַׂנְאַ֖י וָאַצְמִיתֵֽם׃
יִשְׁע֖וּ וְאֵ֣ין מֹשִׁ֑יעַ אֶל־יְהוָ֖ה וְלֹ֥א עָנָֽם׃
וְאֶשְׁחָקֵ֖ם כַּעֲפַר־אָ֑רֶץ כְּטִיט־חוּצ֥וֹת אֲדִקֵּ֖ם אֶרְקָעֵֽם׃
וַֽתְּפַלְּטֵ֔נִי מֵרִיבֵ֖י עַמִּ֑י תִּשְׁמְרֵ֙נִי֙ לְרֹ֣אשׁ גּוֹיִ֔ם עַ֥ם לֹא־יָדַ֖עְתִּי יַעַבְדֻֽנִי׃
בְּנֵ֥י נֵכָ֖ר יִתְכַּֽחֲשׁוּ־לִ֑י לִשְׁמ֥וֹעַ אֹ֖זֶן יִשָּׁ֥מְעוּ לִֽי׃
בְּנֵ֥י נֵכָ֖ר יִבֹּ֑לוּ וְיַחְגְּר֖וּ מִמִּסְגְּרוֹתָֽם׃
חַי־יְהוָ֖ה וּבָר֣וּךְ צוּרִ֑י וְיָרֻ֕ם אֱלֹהֵ֖י צ֥וּר יִשְׁעִֽי׃
הָאֵ֕ל הַנֹּתֵ֥ן נְקָמֹ֖ת לִ֑י וּמוֹרִ֥יד עַמִּ֖ים תַּחְתֵּֽנִי׃
וּמוֹצִיאִ֖י מֵאֹֽיְבָ֑י וּמִקָּמַי֙ תְּר֣וֹמְמֵ֔נִי מֵאִ֥ישׁ חֲמָסִ֖ים תַּצִּילֵֽנִי׃
עַל־כֵּ֛ן אוֹדְךָ֥ יְהוָ֖ה בַּגּוֹיִ֑ם וּלְשִׁמְךָ֖ אֲזַמֵּֽר׃
מגדיל [מִגְדּ֖וֹל] יְשׁוּע֣וֹת מַלְכּ֑וֹ וְעֹֽשֶׂה־חֶ֧סֶד לִמְשִׁיח֛וֹ לְדָוִ֥ד וּלְזַרְע֖וֹ עַד־עוֹלָֽם׃ (פ)</t>
        </is>
      </c>
      <c r="F544" s="10" t="inlineStr"/>
      <c r="G544" s="11" t="inlineStr">
        <is>
          <t>II Samuel 22</t>
        </is>
      </c>
      <c r="H544" s="8" t="inlineStr">
        <is>
          <t>Tanach with Ta'amei Hamikra — Public Domain</t>
        </is>
      </c>
      <c r="I544" s="8" t="inlineStr">
        <is>
          <t>research-ii-samuel-22</t>
        </is>
      </c>
    </row>
    <row r="545" ht="182" customHeight="1">
      <c r="A545" s="7">
        <f>IF(LEN(TRIM(F545))=0,"Approved","Comment to address")</f>
        <v/>
      </c>
      <c r="B545" s="12" t="inlineStr">
        <is>
          <t>Solomon asks for discernment</t>
        </is>
      </c>
      <c r="C545" s="12" t="inlineStr">
        <is>
          <t>study</t>
        </is>
      </c>
      <c r="D545" s="12" t="inlineStr">
        <is>
          <t>Scriptural</t>
        </is>
      </c>
      <c r="E545" s="13" t="inlineStr">
        <is>
          <t>וַיֹּ֣אמֶר שְׁלֹמֹ֗ה אַתָּ֨ה עָשִׂ֜יתָ עִם־עַבְדְּךָ֙ דָוִ֣ד אָבִי֮ חֶ֣סֶד גָּדוֹל֒ כַּאֲשֶׁר֩ הָלַ֨ךְ לְפָנֶ֜יךָ בֶּאֱמֶ֧ת וּבִצְדָקָ֛ה וּבְיִשְׁרַ֥ת לֵבָ֖ב עִמָּ֑ךְ וַתִּשְׁמָר־ל֗וֹ אֶת־הַחֶ֤סֶד הַגָּדוֹל֙ הַזֶּ֔ה וַתִּתֶּן־ל֥וֹ בֵ֛ן יֹשֵׁ֥ב עַל־כִּסְא֖וֹ כַּיּ֥וֹם הַזֶּֽה׃
וְעַתָּה֙ יְהוָ֣ה אֱלֹהָ֔י אַתָּה֙ הִמְלַ֣כְתָּ אֶֽת־עַבְדְּךָ֔ תַּ֖חַת דָּוִ֣ד אָבִ֑י וְאָֽנֹכִי֙ נַ֣עַר קָטֹ֔ן לֹ֥א אֵדַ֖ע צֵ֥את וָבֹֽא׃
וְעַ֨בְדְּךָ֔ בְּת֥וֹךְ עַמְּךָ֖ אֲשֶׁ֣ר בָּחָ֑רְתָּ עַם־רָ֕ב אֲשֶׁ֧ר לֹֽא־יִמָּנֶ֛ה וְלֹ֥א יִסָּפֵ֖ר מֵרֹֽב׃
וְנָתַתָּ֨ לְעַבְדְּךָ֜ לֵ֤ב שֹׁמֵ֙עַ֙ לִשְׁפֹּ֣ט אֶֽת־עַמְּךָ֔ לְהָבִ֖ין בֵּֽין־ט֣וֹב לְרָ֑ע כִּ֣י מִ֤י יוּכַל֙ לִשְׁפֹּ֔ט אֶת־עַמְּךָ֥ הַכָּבֵ֖ד הַזֶּֽה׃</t>
        </is>
      </c>
      <c r="F545" s="10" t="inlineStr"/>
      <c r="G545" s="14" t="inlineStr">
        <is>
          <t>I Kings 3:6-9</t>
        </is>
      </c>
      <c r="H545" s="12" t="inlineStr">
        <is>
          <t>Tanach with Ta'amei Hamikra — Public Domain</t>
        </is>
      </c>
      <c r="I545" s="12" t="inlineStr">
        <is>
          <t>research-i-kings-3-6-9</t>
        </is>
      </c>
    </row>
    <row r="546" ht="409" customHeight="1">
      <c r="A546" s="7">
        <f>IF(LEN(TRIM(F546))=0,"Approved","Comment to address")</f>
        <v/>
      </c>
      <c r="B546" s="8" t="inlineStr">
        <is>
          <t>Solomon's Temple dedication prayer</t>
        </is>
      </c>
      <c r="C546" s="8" t="inlineStr">
        <is>
          <t>repentance</t>
        </is>
      </c>
      <c r="D546" s="8" t="inlineStr">
        <is>
          <t>Scriptural</t>
        </is>
      </c>
      <c r="E546" s="9" t="inlineStr">
        <is>
          <t>וַיַּעֲמֹ֣ד שְׁלֹמֹ֗ה לִפְנֵי֙ מִזְבַּ֣ח יְהוָ֔ה נֶ֖גֶד כָּל־קְהַ֣ל יִשְׂרָאֵ֑ל וַיִּפְרֹ֥שׂ כַּפָּ֖יו הַשָּׁמָֽיִם׃
וַיֹּאמַ֗ר יְהוָ֞ה אֱלֹהֵ֤י יִשְׂרָאֵל֙ אֵין־כָּמ֣וֹךָ אֱלֹהִ֔ים בַּשָּׁמַ֣יִם מִמַּ֔עַל וְעַל־הָאָ֖רֶץ מִתָּ֑חַת שֹׁמֵ֤ר הַבְּרִית֙ וְֽהַחֶ֔סֶד לַעֲבָדֶ֕יךָ הַהֹלְכִ֥ים לְפָנֶ֖יךָ בְּכָל־לִבָּֽם׃
אֲשֶׁ֣ר שָׁמַ֗רְתָּ לְעַבְדְּךָ֙ דָּוִ֣ד אָבִ֔י אֵ֥ת אֲשֶׁר־דִּבַּ֖רְתָּ ל֑וֹ וַתְּדַבֵּ֥ר בְּפִ֛יךָ וּבְיָדְךָ֥ מִלֵּ֖אתָ כַּיּ֥וֹם הַזֶּֽה׃
וְעַתָּ֞ה יְהוָ֣ה ׀ אֱלֹהֵ֣י יִשְׂרָאֵ֗ל שְׁ֠מֹר לְעַבְדְּךָ֨ דָוִ֤ד אָבִי֙ אֵת֩ אֲשֶׁ֨ר דִּבַּ֤רְתָּ לּוֹ֙ לֵאמֹ֔ר לֹא־יִכָּרֵ֨ת לְךָ֥ אִישׁ֙ מִלְּפָנַ֔י יֹשֵׁ֖ב עַל־כִּסֵּ֣א יִשְׂרָאֵ֑ל רַ֠ק אִם־יִשְׁמְר֨וּ בָנֶ֤יךָ אֶת־דַּרְכָּם֙ לָלֶ֣כֶת לְפָנַ֔י כַּאֲשֶׁ֥ר הָלַ֖כְתָּ לְפָנָֽי׃
וְעַתָּ֖ה אֱלֹהֵ֣י יִשְׂרָאֵ֑ל יֵאָ֤מֶן נָא֙ דבריך [דְּבָ֣רְךָ֔] אֲשֶׁ֣ר דִּבַּ֔רְתָּ לְעַבְדְּךָ֖ דָּוִ֥ד אָבִֽי׃
כִּ֚י הַֽאֻמְנָ֔ם יֵשֵׁ֥ב אֱלֹהִ֖ים עַל־הָאָ֑רֶץ הִ֠נֵּה הַשָּׁמַ֜יִם וּשְׁמֵ֤י הַשָּׁמַ֙יִם֙ לֹ֣א יְכַלְכְּל֔וּךָ אַ֕ף כִּֽי־הַבַּ֥יִת הַזֶּ֖ה אֲשֶׁ֥ר בָּנִֽיתִי׃
וּפָנִ֜יתָ אֶל־תְּפִלַּ֧ת עַבְדְּךָ֛ וְאֶל־תְּחִנָּת֖וֹ יְהוָ֣ה אֱלֹהָ֑י לִשְׁמֹ֤עַ אֶל־הָֽרִנָּה֙ וְאֶל־הַתְּפִלָּ֔ה אֲשֶׁ֧ר עַבְדְּךָ֛ מִתְפַּלֵּ֥ל לְפָנֶ֖יךָ הַיּֽוֹם׃
לִהְיוֹת֩ עֵינֶ֨ךָ פְתֻח֜וֹת אֶל־הַבַּ֤יִת הַזֶּה֙ לַ֣יְלָה וָי֔וֹם אֶל־הַ֨מָּק֔וֹם אֲשֶׁ֣ר אָמַ֔רְתָּ יִהְיֶ֥ה שְׁמִ֖י שָׁ֑ם לִשְׁמֹ֙עַ֙ אֶל־הַתְּפִלָּ֔ה אֲשֶׁ֣ר יִתְפַּלֵּ֣ל עַבְדְּךָ֔ אֶל־הַמָּק֖וֹם הַזֶּֽה׃
וְשָׁ֨מַעְתָּ֜ אֶל־תְּחִנַּ֤ת עַבְדְּךָ֙ וְעַמְּךָ֣ יִשְׂרָאֵ֔ל אֲשֶׁ֥ר יִֽתְפַּֽלְל֖וּ אֶל־הַמָּק֣וֹם הַזֶּ֑ה וְ֠אַתָּה תִּשְׁמַ֞ע אֶל־מְק֤וֹם שִׁבְתְּךָ֙ אֶל־הַשָּׁמַ֔יִם וְשָׁמַעְתָּ֖ וְסָלָֽחְתָּ׃
אֵת֩ אֲשֶׁ֨ר יֶחֱטָ֥א אִישׁ֙ לְרֵעֵ֔הוּ וְנָֽשָׁא־ב֥וֹ אָלָ֖ה לְהַֽאֲלֹת֑וֹ וּבָ֗א אָלָ֛ה לִפְנֵ֥י מִֽזְבַּחֲךָ֖ בַּבַּ֥יִת הַזֶּֽה׃
וְאַתָּ֣ה ׀ תִּשְׁמַ֣ע הַשָּׁמַ֗יִם וְעָשִׂ֙יתָ֙ וְשָׁפַטְתָּ֣ אֶת־עֲבָדֶ֔יךָ לְהַרְשִׁ֣יעַ רָשָׁ֔ע לָתֵ֥ת דַּרְכּ֖וֹ בְּרֹאשׁ֑וֹ וּלְהַצְדִּ֣יק צַדִּ֔יק לָ֥תֶת ל֖וֹ כְּצִדְקָתֽוֹ׃ (ס)
בְּֽהִנָּגֵ֞ף עַמְּךָ֧ יִשְׂרָאֵ֛ל לִפְנֵ֥י אוֹיֵ֖ב אֲשֶׁ֣ר יֶחֶטְאוּ־לָ֑ךְ וְשָׁ֤בוּ אֵלֶ֙יךָ֙ וְהוֹד֣וּ אֶת־שְׁמֶ֔ךָ וְהִֽתְפַּֽלְל֧וּ וְהִֽתְחַנְּנ֛וּ אֵלֶ֖יךָ בַּבַּ֥יִת הַזֶּֽה׃
וְאַתָּה֙ תִּשְׁמַ֣ע הַשָּׁמַ֔יִם וְסָ֣לַחְתָּ֔ לְחַטַּ֖את עַמְּךָ֣ יִשְׂרָאֵ֑ל וַהֲשֵֽׁבֹתָם֙ אֶל־הָ֣אֲדָמָ֔ה אֲשֶׁ֥ר נָתַ֖תָּ לַאֲבוֹתָֽם׃ (ס)
בְּהֵעָצֵ֥ר שָׁמַ֛יִם וְלֹא־יִהְיֶ֥ה מָטָ֖ר כִּ֣י יֶחֶטְאוּ־לָ֑ךְ וְהִֽתְפַּֽלְל֞וּ אֶל־הַמָּק֤וֹם הַזֶּה֙ וְהוֹד֣וּ אֶת־שְׁמֶ֔ךָ וּמֵחַטָּאתָ֥ם יְשׁוּב֖וּן כִּ֥י תַעֲנֵֽם׃
וְאַתָּ֣ה ׀ תִּשְׁמַ֣ע הַשָּׁמַ֗יִם וְסָ֨לַחְתָּ֜ לְחַטַּ֤את עֲבָדֶ֙יךָ֙ וְעַמְּךָ֣ יִשְׂרָאֵ֔ל כִּ֥י תוֹרֵ֛ם אֶת־הַדֶּ֥רֶךְ הַטּוֹבָ֖ה אֲשֶׁ֣ר יֵֽלְכוּ־בָ֑הּ וְנָתַתָּ֤ה מָטָר֙ עַל־אַרְצְךָ֔ אֲשֶׁר־נָתַ֥תָּה לְעַמְּךָ֖ לְנַחֲלָֽה׃ (ס)
רָעָ֞ב כִּֽי־יִהְיֶ֣ה בָאָ֗רֶץ דֶּ֣בֶר כִּֽי־יִ֠הְיֶה שִׁדָּפ֨וֹן יֵרָק֜וֹן אַרְבֶּ֤ה חָסִיל֙ כִּ֣י יִהְיֶ֔ה כִּ֧י יָֽצַר־ל֛וֹ אֹיְב֖וֹ בְּאֶ֣רֶץ שְׁעָרָ֑יו כָּל־נֶ֖גַע כָּֽל־מַחֲלָֽה׃
כָּל־תְּפִלָּ֣ה כָל־תְּחִנָּ֗ה אֲשֶׁ֤ר תִֽהְיֶה֙ לְכָל־הָ֣אָדָ֔ם לְכֹ֖ל עַמְּךָ֣ יִשְׂרָאֵ֑ל אֲשֶׁ֣ר יֵדְע֗וּן אִ֚ישׁ נֶ֣גַע לְבָב֔וֹ וּפָרַ֥שׂ כַּפָּ֖יו אֶל־הַבַּ֥יִת הַזֶּֽה׃
וְ֠אַתָּה תִּשְׁמַ֨ע הַשָּׁמַ֜יִם מְכ֤וֹן שִׁבְתֶּ֙ךָ֙ וְסָלַחְתָּ֣ וְעָשִׂ֔יתָ וְנָתַתָּ֤ לָאִישׁ֙ כְּכָל־דְּרָכָ֔יו אֲשֶׁ֥ר תֵּדַ֖ע אֶת־לְבָב֑וֹ כִּֽי־אַתָּ֤ה יָדַ֙עְתָּ֙ לְבַדְּךָ֔ אֶת־לְבַ֖ב כָּל־בְּנֵ֥י הָאָדָֽם׃
לְמַ֙עַן֙ יִֽרָא֔וּךָ כָּל־הַ֨יָּמִ֔ים אֲשֶׁר־הֵ֥ם חַיִּ֖ים עַל־פְּנֵ֣י הָאֲדָמָ֑ה אֲשֶׁ֥ר נָתַ֖תָּה לַאֲבֹתֵֽינוּ׃
וְגַם֙ אֶל־הַנָּכְרִ֔י אֲשֶׁ֛ר לֹא־מֵעַמְּךָ֥ יִשְׂרָאֵ֖ל ה֑וּא וּבָ֛א מֵאֶ֥רֶץ רְחוֹקָ֖ה לְמַ֥עַן שְׁמֶֽךָ׃
כִּ֤י יִשְׁמְעוּן֙ אֶת־שִׁמְךָ֣ הַגָּד֔וֹל וְאֶת־יָֽדְךָ֙ הַֽחֲזָקָ֔ה וּֽזְרֹעֲךָ֖ הַנְּטוּיָ֑ה וּבָ֥א וְהִתְפַּלֵּ֖ל אֶל־הַבַּ֥יִת הַזֶּֽה׃
אַתָּ֞ה תִּשְׁמַ֤ע הַשָּׁמַ֙יִם֙ מְכ֣וֹן שִׁבְתֶּ֔ךָ וְעָשִׂ֕יתָ כְּכֹ֛ל אֲשֶׁר־יִקְרָ֥א אֵלֶ֖יךָ הַנָּכְרִ֑י לְמַ֣עַן יֵדְעוּן֩ כָּל־עַמֵּ֨י הָאָ֜רֶץ אֶת־שְׁמֶ֗ךָ לְיִרְאָ֤ה אֹֽתְךָ֙ כְּעַמְּךָ֣ יִשְׂרָאֵ֔ל וְלָדַ֕עַת כִּי־שִׁמְךָ֣ נִקְרָ֔א עַל־הַבַּ֥יִת הַזֶּ֖ה אֲשֶׁ֥ר בָּנִֽיתִי׃
כִּי־יֵצֵ֨א עַמְּךָ֤ לַמִּלְחָמָה֙ עַל־אֹ֣יְב֔וֹ בַּדֶּ֖רֶךְ אֲשֶׁ֣ר תִּשְׁלָחֵ֑ם וְהִתְפַּֽלְל֣וּ אֶל־יְהוָ֗ה דֶּ֤רֶךְ הָעִיר֙ אֲשֶׁ֣ר בָּחַ֣רְתָּ בָּ֔הּ וְהַבַּ֖יִת אֲשֶׁר־בָּנִ֥תִי לִשְׁמֶֽךָ׃
וְשָׁמַעְתָּ֙ הַשָּׁמַ֔יִם אֶת־תְּפִלָּתָ֖ם וְאֶת־תְּחִנָּתָ֑ם וְעָשִׂ֖יתָ מִשְׁפָּטָֽם׃
כִּ֣י יֶֽחֶטְאוּ־לָ֗ךְ כִּ֣י אֵ֤ין אָדָם֙ אֲשֶׁ֣ר לֹא־יֶחֱטָ֔א וְאָנַפְתָּ֣ בָ֔ם וּנְתַתָּ֖ם לִפְנֵ֣י אוֹיֵ֑ב וְשָׁב֤וּם שֹֽׁבֵיהֶם֙ אֶל־אֶ֣רֶץ הָאוֹיֵ֔ב רְחוֹקָ֖ה א֥וֹ קְרוֹבָֽה׃
וְהֵשִׁ֙יבוּ֙ אֶל־לִבָּ֔ם בָּאָ֖רֶץ אֲשֶׁ֣ר נִשְׁבּוּ־שָׁ֑ם וְשָׁ֣בוּ ׀ וְהִֽתְחַנְּנ֣וּ אֵלֶ֗יךָ בְּאֶ֤רֶץ שֹֽׁבֵיהֶם֙ לֵאמֹ֔ר חָטָ֥אנוּ וְהֶעֱוִ֖ינוּ רָשָֽׁעְנוּ׃
וְשָׁ֣בוּ אֵלֶ֗יךָ בְּכָל־לְבָבָם֙ וּבְכָל־נַפְשָׁ֔ם בְּאֶ֥רֶץ אֹיְבֵיהֶ֖ם אֲשֶׁר־שָׁב֣וּ אֹתָ֑ם וְהִֽתְפַּֽלְל֣וּ אֵלֶ֗יךָ דֶּ֤רֶךְ אַרְצָם֙ אֲשֶׁ֣ר נָתַ֣תָּה לַאֲבוֹתָ֔ם הָעִיר֙ אֲשֶׁ֣ר בָּחַ֔רְתָּ וְהַבַּ֖יִת אֲשֶׁר־בנית [בָּנִ֥יתִי] לִשְׁמֶֽךָ׃
וְשָׁמַעְתָּ֤ הַשָּׁמַ֙יִם֙ מְכ֣וֹן שִׁבְתְּךָ֔ אֶת־תְּפִלָּתָ֖ם וְאֶת־תְּחִנָּתָ֑ם וְעָשִׂ֖יתָ מִשְׁפָּטָֽם׃
וְסָלַחְתָּ֤ לְעַמְּךָ֙ אֲשֶׁ֣ר חָֽטְאוּ־לָ֔ךְ וּלְכָל־פִּשְׁעֵיהֶ֖ם אֲשֶׁ֣ר פָּשְׁעוּ־בָ֑ךְ וּנְתַתָּ֧ם לְרַחֲמִ֛ים לִפְנֵ֥י שֹׁבֵיהֶ֖ם וְרִֽחֲמֽוּם׃
כִּֽי־עַמְּךָ֥ וְנַחֲלָתְךָ֖ הֵ֑ם אֲשֶׁ֤ר הוֹצֵ֙אתָ֙ מִמִּצְרַ֔יִם מִתּ֖וֹךְ כּ֥וּר הַבַּרְזֶֽל׃
לִהְי֨וֹת עֵינֶ֤יךָ פְתֻחוֹת֙ אֶל־תְּחִנַּ֣ת עַבְדְּךָ֔ וְאֶל־תְּחִנַּ֖ת עַמְּךָ֣ יִשְׂרָאֵ֑ל לִשְׁמֹ֣עַ אֲלֵיהֶ֔ם בְּכֹ֖ל קָרְאָ֥ם אֵלֶֽיךָ׃
כִּֽי־אַתָּ֞ה הִבְדַּלְתָּ֤ם לְךָ֙ לְֽנַחֲלָ֔ה מִכֹּ֖ל עַמֵּ֣י הָאָ֑רֶץ כַּאֲשֶׁ֨ר דִּבַּ֜רְתָּ בְּיַ֣ד ׀ מֹשֶׁ֣ה עַבְדֶּ֗ךָ בְּהוֹצִיאֲךָ֧ אֶת־אֲבֹתֵ֛ינוּ מִמִּצְרַ֖יִם אֲדֹנָ֥י יְהוִֽה׃ (פ)</t>
        </is>
      </c>
      <c r="F546" s="10" t="inlineStr"/>
      <c r="G546" s="11" t="inlineStr">
        <is>
          <t>I Kings 8:22-53</t>
        </is>
      </c>
      <c r="H546" s="8" t="inlineStr">
        <is>
          <t>Tanach with Ta'amei Hamikra — Public Domain</t>
        </is>
      </c>
      <c r="I546" s="8" t="inlineStr">
        <is>
          <t>research-i-kings-8-22-53</t>
        </is>
      </c>
    </row>
    <row r="547" ht="114" customHeight="1">
      <c r="A547" s="7">
        <f>IF(LEN(TRIM(F547))=0,"Approved","Comment to address")</f>
        <v/>
      </c>
      <c r="B547" s="12" t="inlineStr">
        <is>
          <t>Elijah's appeal at Carmel</t>
        </is>
      </c>
      <c r="C547" s="12" t="inlineStr">
        <is>
          <t>source</t>
        </is>
      </c>
      <c r="D547" s="12" t="inlineStr">
        <is>
          <t>Scriptural</t>
        </is>
      </c>
      <c r="E547" s="13" t="inlineStr">
        <is>
          <t>וַיְהִ֣י ׀ בַּעֲל֣וֹת הַמִּנְחָ֗ה וַיִּגַּ֞שׁ אֵלִיָּ֣הוּ הַנָּבִיא֮ וַיֹּאמַר֒ יְהוָ֗ה אֱלֹהֵי֙ אַבְרָהָם֙ יִצְחָ֣ק וְיִשְׂרָאֵ֔ל הַיּ֣וֹם יִוָּדַ֗ע כִּֽי־אַתָּ֧ה אֱלֹהִ֛ים בְּיִשְׂרָאֵ֖ל וַאֲנִ֣י עַבְדֶּ֑ךָ ובדבריך [וּבִדְבָרְךָ֣] עָשִׂ֔יתִי אֵ֥ת כָּל־הַדְּבָרִ֖ים הָאֵֽלֶּה׃
עֲנֵ֤נִי יְהוָה֙ עֲנֵ֔נִי וְיֵֽדְעוּ֙ הָעָ֣ם הַזֶּ֔ה כִּֽי־אַתָּ֥ה יְהוָ֖ה הָאֱלֹהִ֑ים וְאַתָּ֛ה הֲסִבֹּ֥תָ אֶת־לִבָּ֖ם אֲחֹרַנִּֽית׃</t>
        </is>
      </c>
      <c r="F547" s="10" t="inlineStr"/>
      <c r="G547" s="14" t="inlineStr">
        <is>
          <t>I Kings 18:36-37</t>
        </is>
      </c>
      <c r="H547" s="12" t="inlineStr">
        <is>
          <t>Tanach with Ta'amei Hamikra — Public Domain</t>
        </is>
      </c>
      <c r="I547" s="12" t="inlineStr">
        <is>
          <t>research-i-kings-18-36-37</t>
        </is>
      </c>
    </row>
    <row r="548" ht="182" customHeight="1">
      <c r="A548" s="7">
        <f>IF(LEN(TRIM(F548))=0,"Approved","Comment to address")</f>
        <v/>
      </c>
      <c r="B548" s="8" t="inlineStr">
        <is>
          <t>Hezekiah asks for deliverance</t>
        </is>
      </c>
      <c r="C548" s="8" t="inlineStr">
        <is>
          <t>protection</t>
        </is>
      </c>
      <c r="D548" s="8" t="inlineStr">
        <is>
          <t>Scriptural</t>
        </is>
      </c>
      <c r="E548" s="9" t="inlineStr">
        <is>
          <t>וַיִּתְפַּלֵּ֨ל חִזְקִיָּ֜הוּ לִפְנֵ֣י יְהוָה֮ וַיֹּאמַר֒ יְהוָ֞ה אֱלֹהֵ֤י יִשְׂרָאֵל֙ יֹשֵׁ֣ב הַכְּרֻבִ֔ים אַתָּה־ה֤וּא הָֽאֱלֹהִים֙ לְבַדְּךָ֔ לְכֹ֖ל מַמְלְכ֣וֹת הָאָ֑רֶץ אַתָּ֣ה עָשִׂ֔יתָ אֶת־הַשָּׁמַ֖יִם וְאֶת־הָאָֽרֶץ׃
הַטֵּ֨ה יְהוָ֤ה ׀ אָזְנְךָ֙ וּֽשֲׁמָ֔ע פְּקַ֧ח יְהוָ֛ה עֵינֶ֖יךָ וּרְאֵ֑ה וּשְׁמַ֗ע אֵ֚ת דִּבְרֵ֣י סַנְחֵרִ֔יב אֲשֶׁ֣ר שְׁלָח֔וֹ לְחָרֵ֖ף אֱלֹהִ֥ים חָֽי׃
אָמְנָ֖ם יְהוָ֑ה הֶחֱרִ֜יבוּ מַלְכֵ֥י אַשּׁ֛וּר אֶת־הַגּוֹיִ֖ם וְאֶת־אַרְצָֽם׃
וְנָתְנ֥וּ אֶת־אֱלֹהֵיהֶ֖ם בָּאֵ֑שׁ כִּי֩ לֹ֨א אֱלֹהִ֜ים הֵ֗מָּה כִּ֣י אִם־מַעֲשֵׂ֧ה יְדֵֽי־אָדָ֛ם עֵ֥ץ וָאֶ֖בֶן וַֽיְאַבְּדֽוּם׃
וְעַתָּה֙ יְהוָ֣ה אֱלֹהֵ֔ינוּ הוֹשִׁיעֵ֥נוּ נָ֖א מִיָּד֑וֹ וְיֵֽדְעוּ֙ כָּל־מַמְלְכ֣וֹת הָאָ֔רֶץ כִּ֥י אַתָּ֛ה יְהוָ֥ה אֱלֹהִ֖ים לְבַדֶּֽךָ׃ (ס)</t>
        </is>
      </c>
      <c r="F548" s="10" t="inlineStr"/>
      <c r="G548" s="11" t="inlineStr">
        <is>
          <t>II Kings 19:15-19</t>
        </is>
      </c>
      <c r="H548" s="8" t="inlineStr">
        <is>
          <t>Tanach with Ta'amei Hamikra — Public Domain</t>
        </is>
      </c>
      <c r="I548" s="8" t="inlineStr">
        <is>
          <t>research-ii-kings-19-15-19</t>
        </is>
      </c>
    </row>
    <row r="549" ht="403" customHeight="1">
      <c r="A549" s="7">
        <f>IF(LEN(TRIM(F549))=0,"Approved","Comment to address")</f>
        <v/>
      </c>
      <c r="B549" s="12" t="inlineStr">
        <is>
          <t>Hezekiah's thanksgiving after illness</t>
        </is>
      </c>
      <c r="C549" s="12" t="inlineStr">
        <is>
          <t>health</t>
        </is>
      </c>
      <c r="D549" s="12" t="inlineStr">
        <is>
          <t>Scriptural</t>
        </is>
      </c>
      <c r="E549" s="13" t="inlineStr">
        <is>
          <t>מִכְתָּ֖ב לְחִזְקִיָּ֣הוּ מֶֽלֶךְ־יְהוּדָ֑ה בַּחֲלֹת֕וֹ וַיְחִ֖י מֵחָלְיֽוֹ׃
אֲנִ֣י אָמַ֗רְתִּי בִּדְמִ֥י יָמַ֛י אֵלֵ֖כָה בְּשַׁעֲרֵ֣י שְׁא֑וֹל פֻּקַּ֖דְתִּי יֶ֥תֶר שְׁנוֹתָֽי׃
אָמַ֙רְתִּי֙ לֹא־אֶרְאֶ֣ה יָ֔הּ יָ֖הּ בְּאֶ֣רֶץ הַחַיִּ֑ים לֹא־אַבִּ֥יט אָדָ֛ם ע֖וֹד עִם־י֥וֹשְׁבֵי חָֽדֶל׃
דּוֹרִ֗י נִסַּ֧ע וְנִגְלָ֛ה מִנִּ֖י כְּאֹ֣הֶל רֹעִ֑י קִפַּ֨דְתִּי כָאֹרֵ֤ג חַיַּי֙ מִדַּלָּ֣ה יְבַצְּעֵ֔נִי מִיּ֥וֹם עַד־לַ֖יְלָה תַּשְׁלִימֵֽנִי׃
שִׁוִּ֤יתִי עַד־בֹּ֙קֶר֙ כָּֽאֲרִ֔י כֵּ֥ן יְשַׁבֵּ֖ר כָּל־עַצְמוֹתָ֑י מִיּ֥וֹם עַד־לַ֖יְלָה תַּשְׁלִימֵֽנִי׃
כְּס֤וּס עָגוּר֙ כֵּ֣ן אֲצַפְצֵ֔ף אֶהְגֶּ֖ה כַּיּוֹנָ֑ה דַּלּ֤וּ עֵינַי֙ לַמָּר֔וֹם אֲדֹנָ֖י עָֽשְׁקָה־לִּ֥י עָרְבֵֽנִי׃
מָֽה־אֲדַבֵּ֥ר וְאָֽמַר־לִ֖י וְה֣וּא עָשָׂ֑ה אֶדַּדֶּ֥ה כָל־שְׁנוֹתַ֖י עַל־מַ֥ר נַפְשִֽׁי׃
אֲדֹנָ֖י עֲלֵיהֶ֣ם יִֽחְי֑וּ וּלְכָל־בָּהֶן֙ חַיֵּ֣י רוּחִ֔י וְתַחֲלִימֵ֖נִי וְהַחֲיֵֽנִי׃
הִנֵּ֥ה לְשָׁל֖וֹם מַר־לִ֣י מָ֑ר וְאַתָּ֞ה חָשַׁ֤קְתָּ נַפְשִׁי֙ מִשַּׁ֣חַת בְּלִ֔י כִּ֥י הִשְׁלַ֛כְתָּ אַחֲרֵ֥י גֵוְךָ֖ כָּל־חֲטָאָֽי׃
כִּ֣י לֹ֥א שְׁא֛וֹל תּוֹדֶ֖ךָּ מָ֣וֶת יְהַלְלֶ֑ךָּ לֹֽא־יְשַׂבְּר֥וּ יֽוֹרְדֵי־ב֖וֹר אֶל־אֲמִתֶּֽךָ׃
חַ֥י חַ֛י ה֥וּא יוֹדֶ֖ךָ כָּמ֣וֹנִי הַיּ֑וֹם אָ֣ב לְבָנִ֔ים יוֹדִ֖יעַ אֶל־אֲמִתֶּֽךָ׃
יְהוָ֖ה לְהוֹשִׁיעֵ֑נִי וּנְגִנוֹתַ֧י נְנַגֵּ֛ן כָּל־יְמֵ֥י חַיֵּ֖ינוּ עַל־בֵּ֥ית יְהוָֽה׃</t>
        </is>
      </c>
      <c r="F549" s="10" t="inlineStr"/>
      <c r="G549" s="14" t="inlineStr">
        <is>
          <t>Isaiah 38:9-20</t>
        </is>
      </c>
      <c r="H549" s="12" t="inlineStr">
        <is>
          <t>Tanach with Ta'amei Hamikra — Public Domain</t>
        </is>
      </c>
      <c r="I549" s="12" t="inlineStr">
        <is>
          <t>research-isaiah-38-9-20</t>
        </is>
      </c>
    </row>
    <row r="550" ht="46" customHeight="1">
      <c r="A550" s="7">
        <f>IF(LEN(TRIM(F550))=0,"Approved","Comment to address")</f>
        <v/>
      </c>
      <c r="B550" s="8" t="inlineStr">
        <is>
          <t>Heal me and I shall be healed</t>
        </is>
      </c>
      <c r="C550" s="8" t="inlineStr">
        <is>
          <t>health</t>
        </is>
      </c>
      <c r="D550" s="8" t="inlineStr">
        <is>
          <t>Scriptural</t>
        </is>
      </c>
      <c r="E550" s="9" t="inlineStr">
        <is>
          <t>רְפָאֵ֤נִי יְהוָה֙ וְאֵ֣רָפֵ֔א הוֹשִׁיעֵ֖נִי וְאִוָּשֵׁ֑עָה כִּ֥י תְהִלָּתִ֖י אָֽתָּה׃</t>
        </is>
      </c>
      <c r="F550" s="10" t="inlineStr"/>
      <c r="G550" s="11" t="inlineStr">
        <is>
          <t>Jeremiah 17:14</t>
        </is>
      </c>
      <c r="H550" s="8" t="inlineStr">
        <is>
          <t>Tanach with Ta'amei Hamikra — Public Domain</t>
        </is>
      </c>
      <c r="I550" s="8" t="inlineStr">
        <is>
          <t>research-jeremiah-17-14</t>
        </is>
      </c>
    </row>
    <row r="551" ht="369" customHeight="1">
      <c r="A551" s="7">
        <f>IF(LEN(TRIM(F551))=0,"Approved","Comment to address")</f>
        <v/>
      </c>
      <c r="B551" s="12" t="inlineStr">
        <is>
          <t>Jeremiah's prayer amid siege</t>
        </is>
      </c>
      <c r="C551" s="12" t="inlineStr">
        <is>
          <t>source</t>
        </is>
      </c>
      <c r="D551" s="12" t="inlineStr">
        <is>
          <t>Scriptural</t>
        </is>
      </c>
      <c r="E551" s="13" t="inlineStr">
        <is>
          <t>אֲהָהּ֮ אֲדֹנָ֣י יְהוִה֒ הִנֵּ֣ה ׀ אַתָּ֣ה עָשִׂ֗יתָ אֶת־הַשָּׁמַ֙יִם֙ וְאֶת־הָאָ֔רֶץ בְּכֹֽחֲךָ֙ הַגָּד֔וֹל וּבִֽזְרֹעֲךָ֖ הַנְּטוּיָ֑ה לֹֽא־יִפָּלֵ֥א מִמְּךָ֖ כָּל־דָּבָֽר׃
עֹ֤שֶׂה חֶ֙סֶד֙ לַֽאֲלָפִ֔ים וּמְשַׁלֵּם֙ עֲוֺ֣ן אָב֔וֹת אֶל־חֵ֥יק בְּנֵיהֶ֖ם אַחֲרֵיהֶ֑ם הָאֵ֤ל הַגָּדוֹל֙ הַגִּבּ֔וֹר יְהוָ֥ה צְבָא֖וֹת שְׁמֽוֹ׃
גְּדֹל֙ הָֽעֵצָ֔ה וְרַ֖ב הָעֲלִֽילִיָּ֑ה אֲשֶׁר־עֵינֶ֣יךָ פְקֻח֗וֹת עַל־כָּל־דַּרְכֵי֙ בְּנֵ֣י אָדָ֔ם לָתֵ֤ת לְאִישׁ֙ כִּדְרָכָ֔יו וְכִפְרִ֖י מַעֲלָלָֽיו׃
אֲשֶׁר־שַׂ֠מְתָּ אֹת֨וֹת וּמֹפְתִ֤ים בְּאֶֽרֶץ־מִצְרַ֙יִם֙ עַד־הַיּ֣וֹם הַזֶּ֔ה וּבְיִשְׂרָאֵ֖ל וּבָֽאָדָ֑ם וַתַּעֲשֶׂה־לְּךָ֥ שֵׁ֖ם כַּיּ֥וֹם הַזֶּֽה׃
וַתֹּצֵ֛א אֶת־עַמְּךָ֥ אֶת־יִשְׂרָאֵ֖ל מֵאֶ֣רֶץ מִצְרָ֑יִם בְּאֹת֣וֹת וּבְמוֹפְתִ֗ים וּבְיָ֤ד חֲזָקָה֙ וּבְאֶזְר֣וֹעַ נְטוּיָ֔ה וּבְמוֹרָ֖א גָּדֽוֹל׃
וַתִּתֵּ֤ן לָהֶם֙ אֶת־הָאָ֣רֶץ הַזֹּ֔את אֲשֶׁר־נִשְׁבַּ֥עְתָּ לַאֲבוֹתָ֖ם לָתֵ֣ת לָהֶ֑ם אֶ֛רֶץ זָבַ֥ת חָלָ֖ב וּדְבָֽשׁ׃
וַיָּבֹ֜אוּ וַיִּֽרְשׁ֣וּ אֹתָ֗הּ וְלֹֽא־שָׁמְע֤וּ בְקוֹלֶ֙ךָ֙ ובתרותך [וּבְתוֹרָתְךָ֣] לֹא־הָלָ֔כוּ אֵת֩ כָּל־אֲשֶׁ֨ר צִוִּ֧יתָה לָהֶ֛ם לַעֲשׂ֖וֹת לֹ֣א עָשׂ֑וּ וַתַּקְרֵ֣א אֹתָ֔ם אֵ֥ת כָּל־הָרָעָ֖ה הַזֹּֽאת׃
הִנֵּ֣ה הַסֹּלְל֗וֹת בָּ֣אוּ הָעִיר֮ לְלָכְדָהּ֒ וְהָעִ֣יר נִתְּנָ֗ה בְּיַ֤ד הַכַּשְׂדִּים֙ הַנִּלְחָמִ֣ים עָלֶ֔יהָ מִפְּנֵ֛י הַחֶ֥רֶב וְהָרָעָ֖ב וְהַדָּ֑בֶר וַאֲשֶׁ֥ר דִּבַּ֛רְתָּ הָיָ֖ה וְהִנְּךָ֥ רֹאֶֽה׃
וְאַתָּ֞ה אָמַ֤רְתָּ אֵלַי֙ אֲדֹנָ֣י יְהוִ֔ה קְנֵֽה־לְךָ֧ הַשָּׂדֶ֛ה בַּכֶּ֖סֶף וְהָעֵ֣ד עֵדִ֑ים וְהָעִ֥יר נִתְּנָ֖ה בְּיַ֥ד הַכַּשְׂדִּֽים׃</t>
        </is>
      </c>
      <c r="F551" s="10" t="inlineStr"/>
      <c r="G551" s="14" t="inlineStr">
        <is>
          <t>Jeremiah 32:17-25</t>
        </is>
      </c>
      <c r="H551" s="12" t="inlineStr">
        <is>
          <t>Tanach with Ta'amei Hamikra — Public Domain</t>
        </is>
      </c>
      <c r="I551" s="12" t="inlineStr">
        <is>
          <t>research-jeremiah-32-17-25</t>
        </is>
      </c>
    </row>
    <row r="552" ht="267" customHeight="1">
      <c r="A552" s="7">
        <f>IF(LEN(TRIM(F552))=0,"Approved","Comment to address")</f>
        <v/>
      </c>
      <c r="B552" s="8" t="inlineStr">
        <is>
          <t>Jonah's prayer from the depths</t>
        </is>
      </c>
      <c r="C552" s="8" t="inlineStr">
        <is>
          <t>thanks</t>
        </is>
      </c>
      <c r="D552" s="8" t="inlineStr">
        <is>
          <t>Scriptural</t>
        </is>
      </c>
      <c r="E552" s="9" t="inlineStr">
        <is>
          <t>וַיִּתְפַּלֵּ֣ל יוֹנָ֔ה אֶל־יְהוָ֖ה אֱלֹהָ֑יו מִמְּעֵ֖י הַדָּגָֽה׃
וַיֹּ֗אמֶר קָ֠רָאתִי מִצָּ֥רָה לִ֛י אֶל־יְהוָ֖ה וַֽיַּעֲנֵ֑נִי מִבֶּ֧טֶן שְׁא֛וֹל שִׁוַּ֖עְתִּי שָׁמַ֥עְתָּ קוֹלִֽי׃
וַתַּשְׁלִיכֵ֤נִי מְצוּלָה֙ בִּלְבַ֣ב יַמִּ֔ים וְנָהָ֖ר יְסֹבְבֵ֑נִי כָּל־מִשְׁבָּרֶ֥יךָ וְגַלֶּ֖יךָ עָלַ֥י עָבָֽרוּ׃
וַאֲנִ֣י אָמַ֔רְתִּי נִגְרַ֖שְׁתִּי מִנֶּ֣גֶד עֵינֶ֑יךָ אַ֚ךְ אוֹסִ֣יף לְהַבִּ֔יט אֶל־הֵיכַ֖ל קָדְשֶֽׁךָ׃
אֲפָפ֤וּנִי מַ֙יִם֙ עַד־נֶ֔פֶשׁ תְּה֖וֹם יְסֹבְבֵ֑נִי ס֖וּף חָב֥וּשׁ לְרֹאשִֽׁי׃
לְקִצְבֵ֤י הָרִים֙ יָרַ֔דְתִּי הָאָ֛רֶץ בְּרִחֶ֥יהָ בַעֲדִ֖י לְעוֹלָ֑ם וַתַּ֧עַל מִשַּׁ֛חַת חַיַּ֖י יְהוָ֥ה אֱלֹהָֽי׃
בְּהִתְעַטֵּ֤ף עָלַי֙ נַפְשִׁ֔י אֶת־יְהוָ֖ה זָכָ֑רְתִּי וַתָּב֤וֹא אֵלֶ֙יךָ֙ תְּפִלָּתִ֔י אֶל־הֵיכַ֖ל קָדְשֶֽׁךָ׃
מְשַׁמְּרִ֖ים הַבְלֵי־שָׁ֑וְא חַסְדָּ֖ם יַעֲזֹֽבוּ׃
וַאֲנִ֗י בְּק֤וֹל תּוֹדָה֙ אֶזְבְּחָה־לָּ֔ךְ אֲשֶׁ֥ר נָדַ֖רְתִּי אֲשַׁלֵּ֑מָה יְשׁוּעָ֖תָה לַיהוָֽה׃ (ס)</t>
        </is>
      </c>
      <c r="F552" s="10" t="inlineStr"/>
      <c r="G552" s="11" t="inlineStr">
        <is>
          <t>Jonah 2:2-10</t>
        </is>
      </c>
      <c r="H552" s="8" t="inlineStr">
        <is>
          <t>Tanach with Ta'amei Hamikra — Public Domain</t>
        </is>
      </c>
      <c r="I552" s="8" t="inlineStr">
        <is>
          <t>research-jonah-2-2-10</t>
        </is>
      </c>
    </row>
    <row r="553" ht="409" customHeight="1">
      <c r="A553" s="7">
        <f>IF(LEN(TRIM(F553))=0,"Approved","Comment to address")</f>
        <v/>
      </c>
      <c r="B553" s="12" t="inlineStr">
        <is>
          <t>Habakkuk's prayer</t>
        </is>
      </c>
      <c r="C553" s="12" t="inlineStr">
        <is>
          <t>success</t>
        </is>
      </c>
      <c r="D553" s="12" t="inlineStr">
        <is>
          <t>Scriptural</t>
        </is>
      </c>
      <c r="E553" s="13" t="inlineStr">
        <is>
          <t>תְּפִלָּ֖ה לַחֲבַקּ֣וּק הַנָּבִ֑יא עַ֖ל שִׁגְיֹנֽוֹת׃
יְהוָ֗ה שָׁמַ֣עְתִּי שִׁמְעֲךָ֮ יָרֵאתִי֒ יְהוָ֗ה פָּֽעָלְךָ֙ בְּקֶ֤רֶב שָׁנִים֙ חַיֵּ֔יהוּ בְּקֶ֥רֶב שָׁנִ֖ים תּוֹדִ֑יעַ בְּרֹ֖גֶז רַחֵ֥ם תִּזְכּֽוֹר׃
אֱל֙וֹהַ֙ מִתֵּימָ֣ן יָב֔וֹא וְקָד֥וֹשׁ מֵֽהַר־פָּארָ֖ן סֶ֑לָה כִּסָּ֤ה שָׁמַ֙יִם֙ הוֹד֔וֹ וּתְהִלָּת֖וֹ מָלְאָ֥ה הָאָֽרֶץ׃
וְנֹ֙גַהּ֙ כָּא֣וֹר תִּֽהְיֶ֔ה קַרְנַ֥יִם מִיָּד֖וֹ ל֑וֹ וְשָׁ֖ם חֶבְי֥וֹן עֻזֹּֽה׃
לְפָנָ֖יו יֵ֣לֶךְ דָּ֑בֶר וְיֵצֵ֥א רֶ֖שֶׁף לְרַגְלָֽיו׃
עָמַ֣ד ׀ וַיְמֹ֣דֶד אֶ֗רֶץ רָאָה֙ וַיַּתֵּ֣ר גּוֹיִ֔ם וַיִּתְפֹּֽצְצוּ֙ הַרְרֵי־עַ֔ד שַׁח֖וּ גִּבְע֣וֹת עוֹלָ֑ם הֲלִיכ֥וֹת עוֹלָ֖ם לֽוֹ׃
תַּ֣חַת אָ֔וֶן רָאִ֖יתִי אָהֳלֵ֣י כוּשָׁ֑ן יִרְגְּז֕וּן יְרִיע֖וֹת אֶ֥רֶץ מִדְיָֽן׃ (ס)
הֲבִנְהָרִים֙ חָרָ֣ה יְהוָ֔ה אִ֤ם בַּנְּהָרִים֙ אַפֶּ֔ךָ אִם־בַּיָּ֖ם עֶבְרָתֶ֑ךָ כִּ֤י תִרְכַּב֙ עַל־סוּסֶ֔יךָ מַרְכְּבֹתֶ֖יךָ יְשׁוּעָֽה׃
עֶרְיָ֤ה תֵעוֹר֙ קַשְׁתֶּ֔ךָ שְׁבֻע֥וֹת מַטּ֖וֹת אֹ֣מֶר סֶ֑לָה נְהָר֖וֹת תְּבַקַּע־אָֽרֶץ׃
רָא֤וּךָ יָחִ֙ילוּ֙ הָרִ֔ים זֶ֥רֶם מַ֖יִם עָבָ֑ר נָתַ֤ן תְּהוֹם֙ קוֹל֔וֹ ר֖וֹם יָדֵ֥יהוּ נָשָֽׂא׃
שֶׁ֥מֶשׁ יָרֵ֖חַ עָ֣מַד זְבֻ֑לָה לְא֤וֹר חִצֶּ֙יךָ֙ יְהַלֵּ֔כוּ לְנֹ֖גַהּ בְּרַ֥ק חֲנִיתֶֽךָ׃
בְּזַ֖עַם תִּצְעַד־אָ֑רֶץ בְּאַ֖ף תָּד֥וּשׁ גּוֹיִֽם׃
יָצָ֙אתָ֙ לְיֵ֣שַׁע עַמֶּ֔ךָ לְיֵ֖שַׁע אֶת־מְשִׁיחֶ֑ךָ מָחַ֤צְתָּ רֹּאשׁ֙ מִבֵּ֣ית רָשָׁ֔ע עָר֛וֹת יְס֥וֹד עַד־צַוָּ֖אר סֶֽלָה׃ (פ)
נָקַ֤בְתָּ בְמַטָּיו֙ רֹ֣אשׁ פרזו [פְּרָזָ֔יו] יִסְעֲר֖וּ לַהֲפִיצֵ֑נִי עֲלִ֣יצֻתָ֔ם כְּמוֹ־לֶאֱכֹ֥ל עָנִ֖י בַּמִּסְתָּֽר׃
דָּרַ֥כְתָּ בַיָּ֖ם סוּסֶ֑יךָ חֹ֖מֶר מַ֥יִם רַבִּֽים׃
שָׁמַ֣עְתִּי ׀ וַתִּרְגַּ֣ז בִּטְנִ֗י לְקוֹל֙ צָלֲל֣וּ שְׂפָתַ֔י יָב֥וֹא רָקָ֛ב בַּעֲצָמַ֖י וְתַחְתַּ֣י אֶרְגָּ֑ז אֲשֶׁ֤ר אָנ֙וּחַ֙ לְי֣וֹם צָרָ֔ה לַעֲל֖וֹת לְעַ֥ם יְגוּדֶֽנּוּ׃
כִּֽי־תְאֵנָ֣ה לֹֽא־תִפְרָ֗ח וְאֵ֤ין יְבוּל֙ בַּגְּפָנִ֔ים כִּחֵשׁ֙ מַעֲשֵׂה־זַ֔יִת וּשְׁדֵמ֖וֹת לֹא־עָ֣שָׂה אֹ֑כֶל גָּזַ֤ר מִמִּכְלָה֙ צֹ֔אן וְאֵ֥ין בָּקָ֖ר בָּרְפָתִֽים׃
וַאֲנִ֖י בַּיהוָ֣ה אֶעְל֑וֹזָה אָגִ֖ילָה בֵּאלֹהֵ֥י יִשְׁעִֽי׃
יְהוִ֤הּ אֲדֹנָי֙ חֵילִ֔י וַיָּ֤שֶׂם רַגְלַי֙ כָּֽאַיָּל֔וֹת וְעַ֥ל בָּמוֹתַ֖י יַדְרִכֵ֑נִי לַמְנַצֵּ֖חַ בִּנְגִינוֹתָֽי׃</t>
        </is>
      </c>
      <c r="F553" s="10" t="inlineStr"/>
      <c r="G553" s="14" t="inlineStr">
        <is>
          <t>Habakkuk 3</t>
        </is>
      </c>
      <c r="H553" s="12" t="inlineStr">
        <is>
          <t>Tanach with Ta'amei Hamikra — Public Domain</t>
        </is>
      </c>
      <c r="I553" s="12" t="inlineStr">
        <is>
          <t>research-habakkuk-3</t>
        </is>
      </c>
    </row>
    <row r="554" ht="409" customHeight="1">
      <c r="A554" s="7">
        <f>IF(LEN(TRIM(F554))=0,"Approved","Comment to address")</f>
        <v/>
      </c>
      <c r="B554" s="8" t="inlineStr">
        <is>
          <t>Daniel's confession and supplication</t>
        </is>
      </c>
      <c r="C554" s="8" t="inlineStr">
        <is>
          <t>repentance</t>
        </is>
      </c>
      <c r="D554" s="8" t="inlineStr">
        <is>
          <t>Scriptural</t>
        </is>
      </c>
      <c r="E554" s="9" t="inlineStr">
        <is>
          <t>וָֽאֶתְפַּֽלְלָ֛ה לַיהוָ֥ה אֱלֹהַ֖י וָאֶתְוַדֶּ֑ה וָאֹֽמְרָ֗ה אָנָּ֤א אֲדֹנָי֙ הָאֵ֤ל הַגָּדוֹל֙ וְהַנּוֹרָ֔א שֹׁמֵ֤ר הַבְּרִית֙ וְֽהַחֶ֔סֶד לְאֹהֲבָ֖יו וּלְשֹׁמְרֵ֥י מִצְוֺתָֽיו׃
חָטָ֥אנוּ וְעָוִ֖ינוּ והרשענו [הִרְשַׁ֣עְנוּ] וּמָרָ֑דְנוּ וְס֥וֹר מִמִּצְוֺתֶ֖ךָ וּמִמִּשְׁפָּטֶֽיךָ׃
וְלֹ֤א שָׁמַ֙עְנוּ֙ אֶל־עֲבָדֶ֣יךָ הַנְּבִיאִ֔ים אֲשֶׁ֤ר דִּבְּרוּ֙ בְּשִׁמְךָ֔ אֶל־מְלָכֵ֥ינוּ שָׂרֵ֖ינוּ וַאֲבֹתֵ֑ינוּ וְאֶ֖ל כָּל־עַ֥ם הָאָֽרֶץ׃
לְךָ֤ אֲדֹנָי֙ הַצְּדָקָ֔ה וְלָ֛נוּ בֹּ֥שֶׁת הַפָּנִ֖ים כַּיּ֣וֹם הַזֶּ֑ה לְאִ֤ישׁ יְהוּדָה֙ וּלְיוֹשְׁבֵ֣י יְרֽוּשָׁלִַ֔ם וּֽלְכָל־יִשְׂרָאֵ֞ל הַקְּרֹבִ֣ים וְהָרְחֹקִ֗ים בְּכָל־הָֽאֲרָצוֹת֙ אֲשֶׁ֣ר הִדַּחְתָּ֣ם שָׁ֔ם בְּמַעֲלָ֖ם אֲשֶׁ֥ר מָֽעֲלוּ־בָֽךְ׃
יְהוָ֗ה לָ֚נוּ בֹּ֣שֶׁת הַפָּנִ֔ים לִמְלָכֵ֥ינוּ לְשָׂרֵ֖ינוּ וְלַאֲבֹתֵ֑ינוּ אֲשֶׁ֥ר חָטָ֖אנוּ לָֽךְ׃
לַֽאדֹנָ֣י אֱלֹהֵ֔ינוּ הָרַחֲמִ֖ים וְהַסְּלִח֑וֹת כִּ֥י מָרַ֖דְנוּ בּֽוֹ׃
וְלֹ֣א שָׁמַ֔עְנוּ בְּק֖וֹל יְהוָ֣ה אֱלֹהֵ֑ינוּ לָלֶ֤כֶת בְּתֽוֹרֹתָיו֙ אֲשֶׁ֣ר נָתַ֣ן לְפָנֵ֔ינוּ בְּיַ֖ד עֲבָדָ֥יו הַנְּבִיאִֽים׃
וְכָל־יִשְׂרָאֵ֗ל עָֽבְרוּ֙ אֶת־תּ֣וֹרָתֶ֔ךָ וְס֕וֹר לְבִלְתִּ֖י שְׁמ֣וֹעַ בְּקֹלֶ֑ךָ וַתִּתַּ֨ךְ עָלֵ֜ינוּ הָאָלָ֣ה וְהַשְּׁבֻעָ֗ה אֲשֶׁ֤ר כְּתוּבָה֙ בְּתוֹרַת֙ מֹשֶׁ֣ה עֶֽבֶד־הָֽאֱלֹהִ֔ים כִּ֥י חָטָ֖אנוּ לֽוֹ׃
וַיָּ֜קֶם אֶת־דבריו [דְּבָר֣וֹ ׀] אֲשֶׁר־דִּבֶּ֣ר עָלֵ֗ינוּ וְעַ֤ל שֹֽׁפְטֵ֙ינוּ֙ אֲשֶׁ֣ר שְׁפָט֔וּנוּ לְהָבִ֥יא עָלֵ֖ינוּ רָעָ֣ה גְדֹלָ֑ה אֲשֶׁ֣ר לֹֽא־נֶעֶשְׂתָ֗ה תַּ֚חַת כָּל־הַשָּׁמַ֔יִם כַּאֲשֶׁ֥ר נֶעֶשְׂתָ֖ה בִּירוּשָׁלִָֽם׃
כַּאֲשֶׁ֤ר כָּתוּב֙ בְּתוֹרַ֣ת מֹשֶׁ֔ה אֵ֛ת כָּל־הָרָעָ֥ה הַזֹּ֖את בָּ֣אָה עָלֵ֑ינוּ וְלֹֽא־חִלִּ֜ינוּ אֶת־פְּנֵ֣י ׀ יְהוָ֣ה אֱלֹהֵ֗ינוּ לָשׁוּב֙ מֵֽעֲוֺנֵ֔נוּ וּלְהַשְׂכִּ֖יל בַּאֲמִתֶּֽךָ׃
וַיִּשְׁקֹ֤ד יְהוָה֙ עַל־הָ֣רָעָ֔ה וַיְבִיאֶ֖הָ עָלֵ֑ינוּ כִּֽי־צַדִּ֞יק יְהוָ֣ה אֱלֹהֵ֗ינוּ עַל־כָּל־מַֽעֲשָׂיו֙ אֲשֶׁ֣ר עָשָׂ֔ה וְלֹ֥א שָׁמַ֖עְנוּ בְּקֹלֽוֹ׃
וְעַתָּ֣ה ׀ אֲדֹנָ֣י אֱלֹהֵ֗ינוּ אֲשֶׁר֩ הוֹצֵ֨אתָ אֶֽת־עַמְּךָ֜ מֵאֶ֤רֶץ מִצְרַ֙יִם֙ בְּיָ֣ד חֲזָקָ֔ה וַתַּֽעַשׂ־לְךָ֥ שֵׁ֖ם כַּיּ֣וֹם הַזֶּ֑ה חָטָ֖אנוּ רָשָֽׁעְנוּ׃
אֲדֹנָ֗י כְּכָל־צִדְקֹתֶ֙ךָ֙ יָֽשָׁב־נָ֤א אַפְּךָ֙ וַחֲמָ֣תְךָ֔ מֵעִֽירְךָ֥ יְרוּשָׁלִַ֖ם הַר־קָדְשֶׁ֑ךָ כִּ֤י בַחֲטָאֵ֙ינוּ֙ וּבַעֲוֺנ֣וֹת אֲבֹתֵ֔ינוּ יְרוּשָׁלִַ֧ם וְעַמְּךָ֛ לְחֶרְפָּ֖ה לְכָל־סְבִיבֹתֵֽינוּ׃
וְעַתָּ֣ה ׀ שְׁמַ֣ע אֱלֹהֵ֗ינוּ אֶל־תְּפִלַּ֤ת עַבְדְּךָ֙ וְאֶל־תַּ֣חֲנוּנָ֔יו וְהָאֵ֣ר פָּנֶ֔יךָ עַל־מִקְדָּשְׁךָ֖ הַשָּׁמֵ֑ם לְמַ֖עַן אֲדֹנָֽי׃
הַטֵּ֨ה אֱלֹהַ֥י ׀ אָזְנְךָ֮ וּֽשֲׁמָע֒ פקחה [פְּקַ֣ח] עֵינֶ֗יךָ וּרְאֵה֙ שֹֽׁמְמֹתֵ֔ינוּ וְהָעִ֕יר אֲשֶׁר־נִקְרָ֥א שִׁמְךָ֖ עָלֶ֑יהָ כִּ֣י ׀ לֹ֣א עַל־צִדְקֹתֵ֗ינוּ אֲנַ֨חְנוּ מַפִּילִ֤ים תַּחֲנוּנֵ֙ינוּ֙ לְפָנֶ֔יךָ כִּ֖י עַל־רַחֲמֶ֥יךָ הָרַבִּֽים׃
אֲדֹנָ֤י ׀ שְׁמָ֙עָה֙ אֲדֹנָ֣י ׀ סְלָ֔חָה אֲדֹנָ֛י הַֽקֲשִׁ֥יבָה וַעֲשֵׂ֖ה אַל־תְּאַחַ֑ר לְמַֽעֲנְךָ֣ אֱלֹהַ֔י כִּֽי־שִׁמְךָ֣ נִקְרָ֔א עַל־עִירְךָ֖ וְעַל־עַמֶּֽךָ׃</t>
        </is>
      </c>
      <c r="F554" s="10" t="inlineStr"/>
      <c r="G554" s="11" t="inlineStr">
        <is>
          <t>Daniel 9:4-19</t>
        </is>
      </c>
      <c r="H554" s="8" t="inlineStr">
        <is>
          <t>Tanach with Ta'amei Hamikra — Public Domain</t>
        </is>
      </c>
      <c r="I554" s="8" t="inlineStr">
        <is>
          <t>research-daniel-9-4-19</t>
        </is>
      </c>
    </row>
    <row r="555" ht="409" customHeight="1">
      <c r="A555" s="7">
        <f>IF(LEN(TRIM(F555))=0,"Approved","Comment to address")</f>
        <v/>
      </c>
      <c r="B555" s="12" t="inlineStr">
        <is>
          <t>Ezra's confession</t>
        </is>
      </c>
      <c r="C555" s="12" t="inlineStr">
        <is>
          <t>repentance</t>
        </is>
      </c>
      <c r="D555" s="12" t="inlineStr">
        <is>
          <t>Scriptural</t>
        </is>
      </c>
      <c r="E555" s="13" t="inlineStr">
        <is>
          <t>וָאֹמְרָ֗ה אֱלֹהַי֙ בֹּ֣שְׁתִּי וְנִכְלַ֔מְתִּי לְהָרִ֧ים אֱלֹהַ֛י פָּנַ֖י אֵלֶ֑יךָ כִּ֣י עֲוֺנֹתֵ֤ינוּ רָבוּ֙ לְמַ֣עְלָה רֹּ֔אשׁ וְאַשְׁמָתֵ֥נוּ גָדְלָ֖ה עַ֥ד לַשָּׁמָֽיִם׃
מִימֵ֣י אֲבֹתֵ֗ינוּ אֲנַ֙חְנוּ֙ בְּאַשְׁמָ֣ה גְדֹלָ֔ה עַ֖ד הַיּ֣וֹם הַזֶּ֑ה וּבַעֲוֺנֹתֵ֡ינוּ נִתַּ֡נּוּ אֲנַחְנוּ֩ מְלָכֵ֨ינוּ כֹהֲנֵ֜ינוּ בְּיַ֣ד ׀ מַלְכֵ֣י הָאֲרָצ֗וֹת בַּחֶ֜רֶב בַּשְּׁבִ֧י וּבַבִּזָּ֛ה וּבְבֹ֥שֶׁת פָּנִ֖ים כְּהַיּ֥וֹם הַזֶּֽה׃
וְעַתָּ֡ה כִּמְעַט־רֶגַע֩ הָיְתָ֨ה תְחִנָּ֜ה מֵאֵ֣ת ׀ יְהוָ֣ה אֱלֹהֵ֗ינוּ לְהַשְׁאִ֥יר לָ֙נוּ֙ פְּלֵיטָ֔ה וְלָתֶת־לָ֥נוּ יָתֵ֖ד בִּמְק֣וֹם קָדְשׁ֑וֹ לְהָאִ֤יר עֵינֵ֙ינוּ֙ אֱלֹהֵ֔ינוּ וּלְתִתֵּ֛נוּ מִֽחְיָ֥ה מְעַ֖ט בְּעַבְדֻתֵֽנוּ׃
כִּֽי־עֲבָדִ֣ים אֲנַ֔חְנוּ וּבְעַבְדֻ֔תֵנוּ לֹ֥א עֲזָבָ֖נוּ אֱלֹהֵ֑ינוּ וַֽיַּט־עָלֵ֣ינוּ חֶ֡סֶד לִפְנֵי֩ מַלְכֵ֨י פָרַ֜ס לָֽתֶת־לָ֣נוּ מִֽחְיָ֗ה לְרוֹמֵ֞ם אֶת־בֵּ֤ית אֱלֹהֵ֙ינוּ֙ וּלְהַעֲמִ֣יד אֶת־חָרְבֹתָ֔יו וְלָֽתֶת־לָ֣נוּ גָדֵ֔ר בִּֽיהוּדָ֖ה וּבִירוּשָׁלִָֽם׃ (ס)
וְעַתָּ֛ה מַה־נֹּאמַ֥ר אֱלֹהֵ֖ינוּ אַֽחֲרֵי־זֹ֑את כִּ֥י עָזַ֖בְנוּ מִצְוֺתֶֽיךָ׃
אֲשֶׁ֣ר צִוִּ֗יתָ בְּיַ֨ד עֲבָדֶ֣יךָ הַנְּבִיאִים֮ לֵאמֹר֒ הָאָ֗רֶץ אֲשֶׁ֨ר אַתֶּ֤ם בָּאִים֙ לְרִשְׁתָּ֔הּ אֶ֤רֶץ נִדָּה֙ הִ֔יא בְּנִדַּ֖ת עַמֵּ֣י הָאֲרָצ֑וֹת בְּתוֹעֲבֹֽתֵיהֶ֗ם אֲשֶׁ֥ר מִלְא֛וּהָ מִפֶּ֥ה אֶל־פֶּ֖ה בְּטֻמְאָתָֽם׃
וְ֠עַתָּה בְּֽנוֹתֵיכֶ֞ם אַל־תִּתְּנ֣וּ לִבְנֵיהֶ֗ם וּבְנֹֽתֵיהֶם֙ אַל־תִּשְׂא֣וּ לִבְנֵיכֶ֔ם וְלֹֽא־תִדְרְשׁ֧וּ שְׁלֹמָ֛ם וְטוֹבָתָ֖ם עַד־עוֹלָ֑ם לְמַ֣עַן תֶּחֶזְק֗וּ וַאֲכַלְתֶּם֙ אֶת־ט֣וּב הָאָ֔רֶץ וְהוֹרַשְׁתֶּ֥ם לִבְנֵיכֶ֖ם עַד־עוֹלָֽם׃
וְאַֽחֲרֵי֙ כָּל־הַבָּ֣א עָלֵ֔ינוּ בְּמַעֲשֵׂ֙ינוּ֙ הָרָעִ֔ים וּבְאַשְׁמָתֵ֖נוּ הַגְּדֹלָ֑ה כִּ֣י ׀ אַתָּ֣ה אֱלֹהֵ֗ינוּ חָשַׂ֤כְתָּֽ לְמַ֙טָּה֙ מֵֽעֲוֺנֵ֔נוּ וְנָתַ֥תָּה לָּ֛נוּ פְּלֵיטָ֖ה כָּזֹֽאת׃
הֲנָשׁוּב֙ לְהָפֵ֣ר מִצְוֺתֶ֔יךָ וּ֨לְהִתְחַתֵּ֔ן בְּעַמֵּ֥י הַתֹּעֵב֖וֹת הָאֵ֑לֶּה הֲל֤וֹא תֶֽאֱנַף־בָּ֙נוּ֙ עַד־כַּלֵּ֔ה לְאֵ֥ין שְׁאֵרִ֖ית וּפְלֵיטָֽה׃ (פ)
יְהוָ֞ה אֱלֹהֵ֤י יִשְׂרָאֵל֙ צַדִּ֣יק אַ֔תָּה כִּֽי־נִשְׁאַ֥רְנוּ פְלֵיטָ֖ה כְּהַיּ֣וֹם הַזֶּ֑ה הִנְנ֤וּ לְפָנֶ֙יךָ֙ בְּאַשְׁמָתֵ֔ינוּ כִּ֣י אֵ֥ין לַעֲמ֛וֹד לְפָנֶ֖יךָ עַל־זֹֽאת׃ (פ)</t>
        </is>
      </c>
      <c r="F555" s="10" t="inlineStr"/>
      <c r="G555" s="14" t="inlineStr">
        <is>
          <t>Ezra 9:6-15</t>
        </is>
      </c>
      <c r="H555" s="12" t="inlineStr">
        <is>
          <t>Tanach with Ta'amei Hamikra — Public Domain</t>
        </is>
      </c>
      <c r="I555" s="12" t="inlineStr">
        <is>
          <t>research-ezra-9-6-15</t>
        </is>
      </c>
    </row>
    <row r="556" ht="335" customHeight="1">
      <c r="A556" s="7">
        <f>IF(LEN(TRIM(F556))=0,"Approved","Comment to address")</f>
        <v/>
      </c>
      <c r="B556" s="8" t="inlineStr">
        <is>
          <t>Nehemiah's petition</t>
        </is>
      </c>
      <c r="C556" s="8" t="inlineStr">
        <is>
          <t>repentance</t>
        </is>
      </c>
      <c r="D556" s="8" t="inlineStr">
        <is>
          <t>Scriptural</t>
        </is>
      </c>
      <c r="E556" s="9" t="inlineStr">
        <is>
          <t>וָאֹמַ֗ר אָֽנָּ֤א יְהוָה֙ אֱלֹהֵ֣י הַשָּׁמַ֔יִם הָאֵ֥ל הַגָּד֖וֹל וְהַנּוֹרָ֑א שֹׁמֵ֤ר הַבְּרִית֙ וָחֶ֔סֶד לְאֹהֲבָ֖יו וּלְשֹׁמְרֵ֥י מִצְוֺתָֽיו׃
תְּהִ֣י נָ֣א אָזְנְךָֽ־קַשֶּׁ֣בֶת וְֽעֵינֶ֪יךָ פְתֻוּח֟וֹת לִשְׁמֹ֣עַ אֶל־תְּפִלַּ֣ת עַבְדְּךָ֡ אֲשֶׁ֣ר אָנֹכִי֩ מִתְפַּלֵּ֨ל לְפָנֶ֤יךָ הַיּוֹם֙ יוֹמָ֣ם וָלַ֔יְלָה עַל־בְּנֵ֥י יִשְׂרָאֵ֖ל עֲבָדֶ֑יךָ וּמִתְוַדֶּ֗ה עַל־חַטֹּ֤אות בְּנֵֽי־יִשְׂרָאֵל֙ אֲשֶׁ֣ר חָטָ֣אנוּ לָ֔ךְ וַאֲנִ֥י וּבֵית־אָבִ֖י חָטָֽאנוּ׃
חֲבֹ֖ל חָבַ֣לְנוּ לָ֑ךְ וְלֹא־שָׁמַ֣רְנוּ אֶת־הַמִּצְוֺ֗ת וְאֶת־הַֽחֻקִּים֙ וְאֶת־הַמִּשְׁפָּטִ֔ים אֲשֶׁ֥ר צִוִּ֖יתָ אֶת־מֹשֶׁ֥ה עַבְדֶּֽךָ׃
זְכָר־נָא֙ אֶת־הַדָּבָ֔ר אֲשֶׁ֥ר צִוִּ֛יתָ אֶת־מֹשֶׁ֥ה עַבְדְּךָ֖ לֵאמֹ֑ר אַתֶּ֣ם תִּמְעָ֔לוּ אֲנִ֕י אָפִ֥יץ אֶתְכֶ֖ם בָּעַמִּֽים׃
וְשַׁבְתֶּ֣ם אֵלַ֔י וּשְׁמַרְתֶּם֙ מִצְוֺתַ֔י וַעֲשִׂיתֶ֖ם אֹתָ֑ם אִם־יִהְיֶ֨ה נִֽדַּחֲכֶ֜ם בִּקְצֵ֤ה הַשָּׁמַ֙יִם֙ מִשָּׁ֣ם אֲקַבְּצֵ֔ם והבואתים [וַהֲבִֽיאוֹתִים֙] אֶל־הַמָּק֔וֹם אֲשֶׁ֣ר בָּחַ֔רְתִּי לְשַׁכֵּ֥ן אֶת־שְׁמִ֖י שָֽׁם׃
וְהֵ֥ם עֲבָדֶ֖יךָ וְעַמֶּ֑ךָ אֲשֶׁ֤ר פָּדִ֙יתָ֙ בְּכֹחֲךָ֣ הַגָּד֔וֹל וּבְיָדְךָ֖ הַחֲזָקָֽה׃
אָנָּ֣א אֲדֹנָ֗י תְּהִ֣י נָ֣א אָזְנְךָֽ־קַ֠שֶּׁבֶת אֶל־תְּפִלַּ֨ת עַבְדְּךָ֜ וְאֶל־תְּפִלַּ֣ת עֲבָדֶ֗יךָ הַֽחֲפֵצִים֙ לְיִרְאָ֣ה אֶת־שְׁמֶ֔ךָ וְהַצְלִֽיחָה־נָּ֤א לְעַבְדְּךָ֙ הַיּ֔וֹם וּתְנֵ֣הוּ לְרַחֲמִ֔ים לִפְנֵ֖י הָאִ֣ישׁ הַזֶּ֑ה וַאֲנִ֛י הָיִ֥יתִי מַשְׁקֶ֖ה לַמֶּֽלֶךְ׃ (פ)</t>
        </is>
      </c>
      <c r="F556" s="10" t="inlineStr"/>
      <c r="G556" s="11" t="inlineStr">
        <is>
          <t>Nehemiah 1:5-11</t>
        </is>
      </c>
      <c r="H556" s="8" t="inlineStr">
        <is>
          <t>Tanach with Ta'amei Hamikra — Public Domain</t>
        </is>
      </c>
      <c r="I556" s="8" t="inlineStr">
        <is>
          <t>research-nehemiah-1-5-11</t>
        </is>
      </c>
    </row>
    <row r="557" ht="409" customHeight="1">
      <c r="A557" s="7">
        <f>IF(LEN(TRIM(F557))=0,"Approved","Comment to address")</f>
        <v/>
      </c>
      <c r="B557" s="12" t="inlineStr">
        <is>
          <t>Communal praise and confession</t>
        </is>
      </c>
      <c r="C557" s="12" t="inlineStr">
        <is>
          <t>repentance</t>
        </is>
      </c>
      <c r="D557" s="12" t="inlineStr">
        <is>
          <t>Scriptural</t>
        </is>
      </c>
      <c r="E557" s="13" t="inlineStr">
        <is>
          <t>וַיֹּאמְר֣וּ הַלְוִיִּ֡ם יֵשׁ֣וּעַ וְ֠קַדְמִיאֵל בָּנִ֨י חֲשַׁבְנְיָ֜ה שֵׁרֵֽבְיָ֤ה הֽוֹדִיָּה֙ שְׁבַנְיָ֣ה פְתַֽחְיָ֔ה ק֗וּמוּ בָּרֲכוּ֙ אֶת־יְהוָ֣ה אֱלֹֽהֵיכֶ֔ם מִן־הָעוֹלָ֖ם עַד־הָעוֹלָ֑ם וִיבָֽרְכוּ֙ שֵׁ֣ם כְּבוֹדֶ֔ךָ וּמְרוֹמַ֥ם עַל־כָּל־בְּרָכָ֖ה וּתְהִלָּֽה׃
אַתָּה־ה֣וּא יְהוָה֮ לְבַדֶּךָ֒ את [אַתָּ֣ה] עָשִׂ֡יתָ אֶֽת־הַשָּׁמַיִם֩ שְׁמֵ֨י הַשָּׁמַ֜יִם וְכָל־צְבָאָ֗ם הָאָ֜רֶץ וְכָל־אֲשֶׁ֤ר עָלֶ֙יהָ֙ הַיַּמִּים֙ וְכָל־אֲשֶׁ֣ר בָּהֶ֔ם וְאַתָּ֖ה מְחַיֶּ֣ה אֶת־כֻּלָּ֑ם וּצְבָ֥א הַשָּׁמַ֖יִם לְךָ֥ מִשְׁתַּחֲוִֽים׃
אַתָּה־הוּא֙ יְהוָ֣ה הָאֱלֹהִ֔ים אֲשֶׁ֤ר בָּחַ֙רְתָּ֙ בְּאַבְרָ֔ם וְהוֹצֵאת֖וֹ מֵא֣וּר כַּשְׂדִּ֑ים וְשַׂ֥מְתָּ שְּׁמ֖וֹ אַבְרָהָֽם׃
וּמָצָ֣אתָ אֶת־לְבָבוֹ֮ נֶאֱמָ֣ן לְפָנֶיךָ֒ וְכָר֨וֹת עִמּ֜וֹ הַבְּרִ֗ית לָתֵ֡ת אֶת־אֶרֶץ֩ הַכְּנַעֲנִ֨י הַחִתִּ֜י הָאֱמֹרִ֧י וְהַפְּרִזִּ֛י וְהַיְבוּסִ֥י וְהַגִּרְגָּשִׁ֖י לָתֵ֣ת לְזַרְע֑וֹ וַתָּ֙קֶם֙ אֶת־דְּבָרֶ֔יךָ כִּ֥י צַדִּ֖יק אָֽתָּה׃
וַתֵּ֛רֶא אֶת־עֳנִ֥י אֲבֹתֵ֖ינוּ בְּמִצְרָ֑יִם וְאֶת־זַעֲקָתָ֥ם שָׁמַ֖עְתָּ עַל־יַם־סֽוּף׃
וַ֠תִּתֵּן אֹתֹ֨ת וּמֹֽפְתִ֜ים בְּפַרְעֹ֤ה וּבְכָל־עֲבָדָיו֙ וּבְכָל־עַ֣ם אַרְצ֔וֹ כִּ֣י יָדַ֔עְתָּ כִּ֥י הֵזִ֖ידוּ עֲלֵיהֶ֑ם וַתַּֽעַשׂ־לְךָ֥ שֵׁ֖ם כְּהַיּ֥וֹם הַזֶּֽה׃
וְהַיָּם֙ בָּקַ֣עְתָּ לִפְנֵיהֶ֔ם וַיַּֽעַבְר֥וּ בְתוֹךְ־הַיָּ֖ם בַּיַּבָּשָׁ֑ה וְֽאֶת־רֹ֨דְפֵיהֶ֜ם הִשְׁלַ֧כְתָּ בִמְצוֹלֹ֛ת כְּמוֹ־אֶ֖בֶן בְּמַ֥יִם עַזִּֽים׃
וּבְעַמּ֣וּד עָנָ֔ן הִנְחִיתָ֖ם יוֹמָ֑ם וּבְעַמּ֥וּד אֵשׁ֙ לַ֔יְלָה לְהָאִ֣יר לָהֶ֔ם אֶת־הַדֶּ֖רֶךְ אֲשֶׁ֥ר יֵֽלְכוּ־בָֽהּ׃
וְעַ֤ל הַר־סִינַי֙ יָרַ֔דְתָּ וְדַבֵּ֥ר עִמָּהֶ֖ם מִשָּׁמָ֑יִם וַתִּתֵּ֨ן לָהֶ֜ם מִשְׁפָּטִ֤ים יְשָׁרִים֙ וְתוֹר֣וֹת אֱמֶ֔ת חֻקִּ֥ים וּמִצְוֺ֖ת טוֹבִֽים׃
וְאֶת־שַׁבַּ֥ת קָדְשְׁךָ֖ הוֹדַ֣עַתָ לָהֶ֑ם וּמִצְו֤וֹת וְחֻקִּים֙ וְתוֹרָ֔ה צִוִּ֣יתָ לָהֶ֔ם בְּיַ֖ד מֹשֶׁ֥ה עַבְדֶּֽךָ׃
וְ֠לֶחֶם מִשָּׁמַ֜יִם נָתַ֤תָּה לָהֶם֙ לִרְעָבָ֔ם וּמַ֗יִם מִסֶּ֛לַע הוֹצֵ֥אתָ לָהֶ֖ם לִצְמָאָ֑ם וַתֹּ֣אמֶר לָהֶ֗ם לָבוֹא֙ לָרֶ֣שֶׁת אֶת־הָאָ֔רֶץ אֲשֶׁר־נָשָׂ֥אתָ אֶת־יָדְךָ֖ לָתֵ֥ת לָהֶֽם׃
וְהֵ֥ם וַאֲבֹתֵ֖ינוּ הֵזִ֑ידוּ וַיַּקְשׁוּ֙ אֶת־עָרְפָּ֔ם וְלֹ֥א שָׁמְע֖וּ אֶל־מִצְוֺתֶֽיךָ׃
וַיְמָאֲנ֣וּ לִשְׁמֹ֗עַ וְלֹא־זָכְר֤וּ נִפְלְאֹתֶ֙יךָ֙ אֲשֶׁ֣ר עָשִׂ֣יתָ עִמָּהֶ֔ם וַיַּקְשׁוּ֙ אֶת־עָרְפָּ֔ם וַיִּתְּנוּ־רֹ֛אשׁ לָשׁ֥וּב לְעַבְדֻתָ֖ם בְּמִרְיָ֑ם וְאַתָּה֩ אֱל֨וֹהַּ סְלִיח֜וֹת חַנּ֧וּן וְרַח֛וּם אֶֽרֶךְ־אַפַּ֥יִם וְרַב־וחסד [חֶ֖סֶד] וְלֹ֥א עֲזַבְתָּֽם׃
אַ֗ף כִּֽי־עָשׂ֤וּ לָהֶם֙ עֵ֣גֶל מַסֵּכָ֔ה וַיֹּ֣אמְר֔וּ זֶ֣ה אֱלֹהֶ֔יךָ אֲשֶׁ֥ר הֶעֶלְךָ֖ מִמִּצְרָ֑יִם וַֽיַּעֲשׂ֔וּ נֶאָצ֖וֹת גְּדֹלֽוֹת׃
וְאַתָּה֙ בְּרַחֲמֶ֣יךָ הָֽרַבִּ֔ים לֹ֥א עֲזַבְתָּ֖ם בַּמִּדְבָּ֑ר אֶת־עַמּ֣וּד הֶ֠עָנָן לֹא־סָ֨ר מֵעֲלֵיהֶ֤ם בְּיוֹמָם֙ לְהַנְחֹתָ֣ם בְּהַדֶּ֔רֶךְ וְאֶת־עַמּ֨וּד הָאֵ֤שׁ בְּלַ֙יְלָה֙ לְהָאִ֣יר לָהֶ֔ם וְאֶת־הַדֶּ֖רֶךְ אֲשֶׁ֥ר יֵֽלְכוּ־בָֽהּ׃
וְרוּחֲךָ֨ הַטּוֹבָ֔ה נָתַ֖תָּ לְהַשְׂכִּילָ֑ם וּמַנְךָ֙ לֹא־מָנַ֣עְתָּ מִפִּיהֶ֔ם וּמַ֛יִם נָתַ֥תָּה לָהֶ֖ם לִצְמָאָֽם׃
וְאַרְבָּעִ֥ים שָׁנָ֛ה כִּלְכַּלְתָּ֥ם בַּמִּדְבָּ֖ר לֹ֣א חָסֵ֑רוּ שַׂלְמֹֽתֵיהֶם֙ לֹ֣א בָל֔וּ וְרַגְלֵיהֶ֖ם לֹ֥א בָצֵֽקוּ׃
וַתִּתֵּ֨ן לָהֶ֤ם מַמְלָכוֹת֙ וַעֲמָמִ֔ים וַֽתַּחְלְקֵ֖ם לְפֵאָ֑ה וַיִּֽירְשׁ֞וּ אֶת־אֶ֣רֶץ סִיח֗וֹן וְאֶת־אֶ֙רֶץ֙ מֶ֣לֶךְ חֶשְׁבּ֔וֹן וְאֶת־אֶ֖רֶץ ע֥וֹג מֶֽלֶךְ־הַבָּשָֽׁן׃
וּבְנֵיהֶ֣ם הִרְבִּ֔יתָ כְּכֹכְבֵ֖י הַשָּׁמָ֑יִם וַתְּבִיאֵם֙ אֶל־הָאָ֔רֶץ אֲשֶׁר־אָמַ֥רְתָּ לַאֲבֹתֵיהֶ֖ם לָב֥וֹא לָרָֽשֶׁת׃
וַיָּבֹ֤אוּ הַבָּנִים֙ וַיִּֽירְשׁ֣וּ אֶת־הָאָ֔רֶץ וַתַּכְנַ֨ע לִפְנֵיהֶ֜ם אֶת־יֹשְׁבֵ֤י הָאָ֙רֶץ֙ הַכְּנַ֣עֲנִ֔ים וַֽתִּתְּנֵ֖ם בְּיָדָ֑ם וְאֶת־מַלְכֵיהֶם֙ וְאֶת־עַֽמְמֵ֣י הָאָ֔רֶץ לַעֲשׂ֥וֹת בָּהֶ֖ם כִּרְצוֹנָֽם׃
וַֽיִּלְכְּד֞וּ עָרִ֣ים בְּצֻרוֹת֮ וַאֲדָמָ֣ה שְׁמֵנָה֒ וַיִּֽירְשׁ֡וּ בָּתִּ֣ים מְלֵֽאִים־כָּל־ט֠וּב בֹּר֨וֹת חֲצוּבִ֜ים כְּרָמִ֧ים וְזֵיתִ֛ים וְעֵ֥ץ מַאֲכָ֖ל לָרֹ֑ב וַיֹּאכְל֤וּ וַֽיִּשְׂבְּעוּ֙ וַיַּשְׁמִ֔ינוּ וַיִּֽתְעַדְּנ֖וּ בְּטוּבְךָ֥ הַגָּדֽוֹל׃
וַיַּמְר֨וּ וַֽיִּמְרְד֜וּ בָּ֗ךְ וַיַּשְׁלִ֤כוּ אֶת־תּוֹרָֽתְךָ֙ אַחֲרֵ֣י גַוָּ֔ם וְאֶת־נְבִיאֶ֣יךָ הָרָ֔גוּ אֲשֶׁר־הֵעִ֥ידוּ בָ֖ם לַהֲשִׁיבָ֣ם אֵלֶ֑יךָ וַֽיַּעֲשׂ֔וּ נֶאָצ֖וֹת גְּדוֹלֹֽת׃
וַֽתִּתְּנֵם֙ בְּיַ֣ד צָֽרֵיהֶ֔ם וַיָּצֵ֖רוּ לָהֶ֑ם וּבְעֵ֤ת צָֽרָתָם֙ יִצְעֲק֣וּ אֵלֶ֔יךָ וְאַתָּה֙ מִשָּׁמַ֣יִם תִּשְׁמָ֔ע וּֽכְרַחֲמֶ֣יךָ הָֽרַבִּ֗ים תִּתֵּ֤ן לָהֶם֙ מֽוֹשִׁיעִ֔ים וְיוֹשִׁיע֖וּם מִיַּ֥ד צָרֵיהֶֽם׃
וּכְנ֣וֹחַ לָהֶ֔ם יָשׁ֕וּבוּ לַעֲשׂ֥וֹת רַ֖ע לְפָנֶ֑יךָ וַתַּֽעַזְבֵ֞ם בְּיַ֤ד אֹֽיְבֵיהֶם֙ וַיִּרְדּ֣וּ בָהֶ֔ם וַיָּשׁ֙וּבוּ֙ וַיִּזְעָק֔וּךָ וְאַתָּ֞ה מִשָּׁמַ֧יִם תִּשְׁמַ֛ע וְתַצִּילֵ֥ם כְּֽרַחֲמֶ֖יךָ רַבּ֥וֹת עִתִּֽים׃
וַתָּ֨עַד בָּהֶ֜ם לַהֲשִׁיבָ֣ם אֶל־תּוֹרָתֶ֗ךָ וְהֵ֨מָּה הֵזִ֜ידוּ וְלֹא־שָׁמְע֤וּ לְמִצְוֺתֶ֙יךָ֙ וּבְמִשְׁפָּטֶ֣יךָ חָֽטְאוּ־בָ֔ם אֲשֶׁר־יַעֲשֶׂ֥ה אָדָ֖ם וְחָיָ֣ה בָהֶ֑ם וַיִּתְּנ֤וּ כָתֵף֙ סוֹרֶ֔רֶת וְעָרְפָּ֥ם הִקְשׁ֖וּ וְלֹ֥א שָׁמֵֽעוּ׃
וַתִּמְשֹׁ֤ךְ עֲלֵיהֶם֙ שָׁנִ֣ים רַבּ֔וֹת וַתָּ֨עַד בָּ֧ם בְּרוּחֲךָ֛ בְּיַד־נְבִיאֶ֖יךָ וְלֹ֣א הֶאֱזִ֑ינוּ וַֽתִּתְּנֵ֔ם בְּיַ֖ד עַמֵּ֥י הָאֲרָצֹֽת׃
וּֽבְרַחֲמֶ֧יךָ הָרַבִּ֛ים לֹֽא־עֲשִׂיתָ֥ם כָּלָ֖ה וְלֹ֣א עֲזַבְתָּ֑ם כִּ֛י אֵֽל־חַנּ֥וּן וְרַח֖וּם אָֽתָּה׃
וְעַתָּ֣ה אֱ֠לֹהֵינוּ הָאֵ֨ל הַגָּד֜וֹל הַגִּבּ֣וֹר וְהַנּוֹרָא֮ שׁוֹמֵ֣ר הַבְּרִ֣ית וְהַחֶסֶד֒ אַל־יִמְעַ֣ט לְפָנֶ֡יךָ אֵ֣ת כָּל־הַתְּלָאָ֣ה אֲֽשֶׁר־מְ֠צָאַתְנוּ לִמְלָכֵ֨ינוּ לְשָׂרֵ֧ינוּ וּלְכֹהֲנֵ֛ינוּ וְלִנְבִיאֵ֥נוּ וְלַאֲבֹתֵ֖ינוּ וּלְכָל־עַמֶּ֑ךָ מִימֵי֙ מַלְכֵ֣י אַשּׁ֔וּר עַ֖ד הַיּ֥וֹם הַזֶּֽה׃
וְאַתָּ֣ה צַדִּ֔יק עַ֖ל כָּל־הַבָּ֣א עָלֵ֑ינוּ כִּֽי־אֱמֶ֥ת עָשִׂ֖יתָ וַאֲנַ֥חְנוּ הִרְשָֽׁעְנוּ׃
וְאֶת־מְלָכֵ֤ינוּ שָׂרֵ֙ינוּ֙ כֹּהֲנֵ֣ינוּ וַאֲבֹתֵ֔ינוּ לֹ֥א עָשׂ֖וּ תּוֹרָתֶ֑ךָ וְלֹ֤א הִקְשִׁ֙יבוּ֙ אֶל־מִצְוֺתֶ֔יךָ וּלְעֵ֣דְוֺתֶ֔יךָ אֲשֶׁ֥ר הַעִידֹ֖תָ בָּהֶֽם׃
וְהֵ֣ם בְּמַלְכוּתָם֩ וּבְטוּבְךָ֨ הָרָ֜ב אֲשֶׁר־נָתַ֣תָּ לָהֶ֗ם וּבְאֶ֨רֶץ הָרְחָבָ֧ה וְהַשְּׁמֵנָ֛ה אֲשֶׁר־נָתַ֥תָּ לִפְנֵיהֶ֖ם לֹ֣א עֲבָד֑וּךָ וְֽלֹא־שָׁ֔בוּ מִמַּֽעַלְלֵיהֶ֖ם הָרָעִֽים׃
הִנֵּ֛ה אֲנַ֥חְנוּ הַיּ֖וֹם עֲבָדִ֑ים וְהָאָ֜רֶץ אֲשֶׁר־נָתַ֣תָּה לַאֲבֹתֵ֗ינוּ לֶאֱכֹ֤ל אֶת־פִּרְיָהּ֙ וְאֶת־טוּבָ֔הּ הִנֵּ֛ה אֲנַ֥חְנוּ עֲבָדִ֖ים עָלֶֽיהָ׃
וּתְבוּאָתָ֣הּ מַרְבָּ֗ה לַמְּלָכִ֛ים אֲשֶׁר־נָתַ֥תָּה עָלֵ֖ינוּ בְּחַטֹּאותֵ֑ינוּ וְעַ֣ל גְּ֠וִיֹּתֵינוּ מֹשְׁלִ֤ים וּבִבְהֶמְתֵּ֙נוּ֙ כִּרְצוֹנָ֔ם וּבְצָרָ֥ה גְדוֹלָ֖ה אֲנָֽחְנוּ׃ (פ)</t>
        </is>
      </c>
      <c r="F557" s="10" t="inlineStr"/>
      <c r="G557" s="14" t="inlineStr">
        <is>
          <t>Nehemiah 9:5-37</t>
        </is>
      </c>
      <c r="H557" s="12" t="inlineStr">
        <is>
          <t>Tanach with Ta'amei Hamikra — Public Domain</t>
        </is>
      </c>
      <c r="I557" s="12" t="inlineStr">
        <is>
          <t>research-nehemiah-9-5-37</t>
        </is>
      </c>
    </row>
    <row r="558" ht="63" customHeight="1">
      <c r="A558" s="7">
        <f>IF(LEN(TRIM(F558))=0,"Approved","Comment to address")</f>
        <v/>
      </c>
      <c r="B558" s="8" t="inlineStr">
        <is>
          <t>Jabez's petition</t>
        </is>
      </c>
      <c r="C558" s="8" t="inlineStr">
        <is>
          <t>protection</t>
        </is>
      </c>
      <c r="D558" s="8" t="inlineStr">
        <is>
          <t>Scriptural</t>
        </is>
      </c>
      <c r="E558" s="9" t="inlineStr">
        <is>
          <t>וַיִּקְרָ֣א יַ֠עְבֵּץ לֵאלֹהֵ֨י יִשְׂרָאֵ֜ל לֵאמֹ֗ר אִם־בָּרֵ֨ךְ תְּבָרֲכֵ֜נִי וְהִרְבִּ֤יתָ אֶת־גְּבוּלִי֙ וְהָיְתָ֤ה יָדְךָ֙ עִמִּ֔י וְעָשִׂ֥יתָ מֵּרָעָ֖ה לְבִלְתִּ֣י עָצְבִּ֑י וַיָּבֵ֥א אֱלֹהִ֖ים אֵ֥ת אֲשֶׁר־שָׁאָֽל׃</t>
        </is>
      </c>
      <c r="F558" s="10" t="inlineStr"/>
      <c r="G558" s="11" t="inlineStr">
        <is>
          <t>I Chronicles 4:10</t>
        </is>
      </c>
      <c r="H558" s="8" t="inlineStr">
        <is>
          <t>Tanach with Ta'amei Hamikra — Public Domain</t>
        </is>
      </c>
      <c r="I558" s="8" t="inlineStr">
        <is>
          <t>research-i-chronicles-4-10</t>
        </is>
      </c>
    </row>
    <row r="559" ht="386" customHeight="1">
      <c r="A559" s="7">
        <f>IF(LEN(TRIM(F559))=0,"Approved","Comment to address")</f>
        <v/>
      </c>
      <c r="B559" s="12" t="inlineStr">
        <is>
          <t>David's blessing and petition</t>
        </is>
      </c>
      <c r="C559" s="12" t="inlineStr">
        <is>
          <t>thanks</t>
        </is>
      </c>
      <c r="D559" s="12" t="inlineStr">
        <is>
          <t>Scriptural</t>
        </is>
      </c>
      <c r="E559" s="13" t="inlineStr">
        <is>
          <t>וַיְבָ֤רֶךְ דָּוִיד֙ אֶת־יְהוָ֔ה לְעֵינֵ֖י כָּל־הַקָּהָ֑ל וַיֹּ֣אמֶר דָּוִ֗יד בָּר֨וּךְ אַתָּ֤ה יְהוָה֙ אֱלֹהֵי֙ יִשְׂרָאֵ֣ל אָבִ֔ינוּ מֵעוֹלָ֖ם וְעַד־עוֹלָֽם׃
לְךָ֣ יְ֠הוָה הַגְּדֻלָּ֨ה וְהַגְּבוּרָ֤ה וְהַתִּפְאֶ֙רֶת֙ וְהַנֵּ֣צַח וְהַה֔וֹד כִּי־כֹ֖ל בַּשָּׁמַ֣יִם וּבָאָ֑רֶץ לְךָ֤ יְהוָה֙ הַמַּמְלָכָ֔ה וְהַמִּתְנַשֵּׂ֖א לְכֹ֥ל ׀ לְרֹֽאשׁ׃
וְהָעֹ֤שֶׁר וְהַכָּבוֹד֙ מִלְּפָנֶ֔יךָ וְאַתָּה֙ מוֹשֵׁ֣ל בַּכֹּ֔ל וּבְיָדְךָ֖ כֹּ֣חַ וּגְבוּרָ֑ה וּבְיָ֣דְךָ֔ לְגַדֵּ֥ל וּלְחַזֵּ֖ק לַכֹּֽל׃
וְעַתָּ֣ה אֱלֹהֵ֔ינוּ מוֹדִ֥ים אֲנַ֖חְנוּ לָ֑ךְ וּֽמְהַֽלְלִ֖ים לְשֵׁ֥ם תִּפְאַרְתֶּֽךָ׃
וְכִ֨י מִ֤י אֲנִי֙ וּמִ֣י עַמִּ֔י כִּֽי־נַעְצֹ֣ר כֹּ֔חַ לְהִתְנַדֵּ֖ב כָּזֹ֑את כִּֽי־מִמְּךָ֣ הַכֹּ֔ל וּמִיָּדְךָ֖ נָתַ֥נּוּ לָֽךְ׃
כִּֽי־גֵרִ֨ים אֲנַ֧חְנוּ לְפָנֶ֛יךָ וְתוֹשָׁבִ֖ים כְּכָל־אֲבֹתֵ֑ינוּ כַּצֵּ֧ל ׀ יָמֵ֛ינוּ עַל־הָאָ֖רֶץ וְאֵ֥ין מִקְוֶֽה׃
יְהוָ֣ה אֱלֹהֵ֔ינוּ כֹּ֣ל הֶהָמ֤וֹן הַזֶּה֙ אֲשֶׁ֣ר הֲכִינֹ֔נוּ לִבְנֽוֹת־לְךָ֥ בַ֖יִת לְשֵׁ֣ם קָדְשֶׁ֑ךָ מִיָּדְךָ֥ היא [ה֖וּא] וּלְךָ֥ הַכֹּֽל׃
וְיָדַ֣עְתִּי אֱלֹהַ֔י כִּ֤י אַתָּה֙ בֹּחֵ֣ן לֵבָ֔ב וּמֵישָׁרִ֖ים תִּרְצֶ֑ה אֲנִ֗י בְּיֹ֤שֶׁר לְבָבִי֙ הִתְנַדַּ֣בְתִּי כָל־אֵ֔לֶּה וְעַתָּ֗ה עַמְּךָ֙ הַנִּמְצְאוּ־פֹ֔ה רָאִ֥יתִי בְשִׂמְחָ֖ה לְהִֽתְנַדֶּב־לָֽךְ׃
יְהוָ֗ה אֱ֠לֹהֵי אַבְרָהָ֞ם יִצְחָ֤ק וְיִשְׂרָאֵל֙ אֲבֹתֵ֔ינוּ שֳׁמְרָה־זֹּ֣את לְעוֹלָ֔ם לְיֵ֥צֶר מַחְשְׁב֖וֹת לְבַ֣ב עַמֶּ֑ךָ וְהָכֵ֥ן לְבָבָ֖ם אֵלֶֽיךָ׃
וְלִשְׁלֹמֹ֣ה בְנִ֗י תֵּ֚ן לֵבָ֣ב שָׁלֵ֔ם לִשְׁמוֹר֙ מִצְוֺתֶ֔יךָ עֵדְוֺתֶ֖יךָ וְחֻקֶּ֑יךָ וְלַעֲשׂ֣וֹת הַכֹּ֔ל וְלִבְנ֖וֹת הַבִּירָ֥ה אֲשֶׁר־הֲכִינֽוֹתִי׃ (פ)</t>
        </is>
      </c>
      <c r="F559" s="10" t="inlineStr"/>
      <c r="G559" s="14" t="inlineStr">
        <is>
          <t>I Chronicles 29:10-19</t>
        </is>
      </c>
      <c r="H559" s="12" t="inlineStr">
        <is>
          <t>Tanach with Ta'amei Hamikra — Public Domain</t>
        </is>
      </c>
      <c r="I559" s="12" t="inlineStr">
        <is>
          <t>research-i-chronicles-29-10-19</t>
        </is>
      </c>
    </row>
    <row r="560" ht="318" customHeight="1">
      <c r="A560" s="7">
        <f>IF(LEN(TRIM(F560))=0,"Approved","Comment to address")</f>
        <v/>
      </c>
      <c r="B560" s="8" t="inlineStr">
        <is>
          <t>Jehoshaphat's communal petition</t>
        </is>
      </c>
      <c r="C560" s="8" t="inlineStr">
        <is>
          <t>protection</t>
        </is>
      </c>
      <c r="D560" s="8" t="inlineStr">
        <is>
          <t>Scriptural</t>
        </is>
      </c>
      <c r="E560" s="9" t="inlineStr">
        <is>
          <t>וַיֹּאמַ֗ר יְהוָ֞ה אֱלֹהֵ֤י אֲבֹתֵ֙ינוּ֙ הֲלֹ֨א אַתָּֽה־ה֤וּא אֱלֹהִים֙ בַּשָּׁמַ֔יִם וְאַתָּ֣ה מוֹשֵׁ֔ל בְּכֹ֖ל מַמְלְכ֣וֹת הַגּוֹיִ֑ם וּבְיָדְךָ֙ כֹּ֣חַ וּגְבוּרָ֔ה וְאֵ֥ין עִמְּךָ֖ לְהִתְיַצֵּֽב׃
הֲלֹ֣א ׀ אַתָּ֣ה אֱלֹהֵ֗ינוּ הוֹרַ֙שְׁתָּ֙ אֶת־יֹשְׁבֵי֙ הָאָ֣רֶץ הַזֹּ֔את מִלִּפְנֵ֖י עַמְּךָ֣ יִשְׂרָאֵ֑ל וַֽתִּתְּנָ֗הּ לְזֶ֛רַע אַבְרָהָ֥ם אֹֽהַבְךָ֖ לְעוֹלָֽם׃
וַיֵּשְׁב֖וּ־בָ֑הּ וַיִּבְנ֨וּ לְךָ֧ ׀ בָּ֛הּ מִקְדָּ֖שׁ לְשִׁמְךָ֥ לֵאמֹֽר׃
אִם־תָּב֨וֹא עָלֵ֜ינוּ רָעָ֗ה חֶרֶב֮ שְׁפוֹט֮ וְדֶ֣בֶר וְרָעָב֒ נַֽעַמְדָ֞ה לִפְנֵ֨י הַבַּ֤יִת הַזֶּה֙ וּלְפָנֶ֔יךָ כִּ֥י שִׁמְךָ֖ בַּבַּ֣יִת הַזֶּ֑ה וְנִזְעַ֥ק אֵלֶ֛יךָ מִצָּרָתֵ֖נוּ וְתִשְׁמַ֥ע וְתוֹשִֽׁיעַ׃
וְעַתָּ֡ה הִנֵּה֩ בְנֵֽי־עַמּ֨וֹן וּמוֹאָ֜ב וְהַר־שֵׂעִ֗יר אֲ֠שֶׁר לֹֽא־נָתַ֤תָּה לְיִשְׂרָאֵל֙ לָב֣וֹא בָהֶ֔ם בְּבֹאָ֖ם מֵאֶ֣רֶץ מִצְרָ֑יִם כִּ֛י סָ֥רוּ מֵעֲלֵיהֶ֖ם וְלֹ֥א הִשְׁמִידֽוּם׃
וְהִ֨נֵּה־הֵ֔ם גֹּמְלִ֖ים עָלֵ֑ינוּ לָבוֹא֙ לְגָ֣רְשֵׁ֔נוּ מִיְּרֻשָּׁתְךָ֖ אֲשֶׁ֥ר הֽוֹרַשְׁתָּֽנוּ׃
אֱלֹהֵ֙ינוּ֙ הֲלֹ֣א תִשְׁפָּט־בָּ֔ם כִּ֣י אֵ֥ין בָּ֙נוּ֙ כֹּ֔חַ לִ֠פְנֵי הֶהָמ֥וֹן הָרָ֛ב הַזֶּ֖ה הַבָּ֣א עָלֵ֑ינוּ וַאֲנַ֗חְנוּ לֹ֤א נֵדַע֙ מַֽה־נַּעֲשֶׂ֔ה כִּ֥י עָלֶ֖יךָ עֵינֵֽינוּ׃</t>
        </is>
      </c>
      <c r="F560" s="10" t="inlineStr"/>
      <c r="G560" s="11" t="inlineStr">
        <is>
          <t>II Chronicles 20:6-12</t>
        </is>
      </c>
      <c r="H560" s="8" t="inlineStr">
        <is>
          <t>Tanach with Ta'amei Hamikra — Public Domain</t>
        </is>
      </c>
      <c r="I560" s="8" t="inlineStr">
        <is>
          <t>research-ii-chronicles-20-6-12</t>
        </is>
      </c>
    </row>
    <row r="561" ht="97" customHeight="1">
      <c r="A561" s="7">
        <f>IF(LEN(TRIM(F561))=0,"Approved","Comment to address")</f>
        <v/>
      </c>
      <c r="B561" s="12" t="inlineStr">
        <is>
          <t>A request for truthfulness and sufficient provision</t>
        </is>
      </c>
      <c r="C561" s="12" t="inlineStr">
        <is>
          <t>success</t>
        </is>
      </c>
      <c r="D561" s="12" t="inlineStr">
        <is>
          <t>Scriptural</t>
        </is>
      </c>
      <c r="E561" s="13" t="inlineStr">
        <is>
          <t>שְׁ֭תַּיִם שָׁאַ֣לְתִּי מֵאִתָּ֑ךְ אַל־תִּמְנַ֥ע מִ֝מֶּ֗נִּי בְּטֶ֣רֶם אָמֽוּת׃
שָׁ֤וְא ׀ וּֽדְבַר־כָּזָ֡ב הַרְחֵ֬ק מִמֶּ֗נִּי רֵ֣אשׁ וָ֭עֹשֶׁר אַל־תִּֽתֶּן־לִ֑י הַ֝טְרִיפֵ֗נִי לֶ֣חֶם חֻקִּֽי׃
פֶּ֥ן אֶשְׂבַּ֨ע ׀ וְכִחַשְׁתִּי֮ וְאָמַ֗רְתִּי מִ֥י יְה֫וָ֥ה וּפֶֽן־אִוָּרֵ֥שׁ וְגָנַ֑בְתִּי וְ֝תָפַ֗שְׂתִּי שֵׁ֣ם אֱלֹהָֽי׃ (פ)</t>
        </is>
      </c>
      <c r="F561" s="10" t="inlineStr"/>
      <c r="G561" s="14" t="inlineStr">
        <is>
          <t>Proverbs 30:7-9</t>
        </is>
      </c>
      <c r="H561" s="12" t="inlineStr">
        <is>
          <t>Tanach with Ta'amei Hamikra — Public Domain</t>
        </is>
      </c>
      <c r="I561" s="12" t="inlineStr">
        <is>
          <t>research-proverbs-30-7-9</t>
        </is>
      </c>
    </row>
    <row r="562" ht="409" customHeight="1">
      <c r="A562" s="7">
        <f>IF(LEN(TRIM(F562))=0,"Approved","Comment to address")</f>
        <v/>
      </c>
      <c r="B562" s="8" t="inlineStr">
        <is>
          <t>Tefillin</t>
        </is>
      </c>
      <c r="C562" s="8" t="inlineStr">
        <is>
          <t>tefillin</t>
        </is>
      </c>
      <c r="D562" s="8" t="inlineStr">
        <is>
          <t>Varies</t>
        </is>
      </c>
      <c r="E562" s="9" t="inlineStr">
        <is>
          <t>בָּרוּךְ אַתָּה יְהֹוָה אֱלֹהֵֽינוּ מֶֽלֶךְ הָעוֹלָם אֲשֶׁר קִדְּ֒שָֽׁנוּ בְּמִצְוֹתָיו וְצִוָּנוּ לְהָנִיחַ תְּפִלִּין:
בָּרוּךְ אַתָּה יְהֹוָה אֱלֹהֵֽינוּ מֶֽלֶךְ הָעוֹלָם אֲשֶׁר קִדְּ֒שָֽׁנוּ בְּמִצְוֹתָיו וְצִוָּנוּ עַל מִצְוַת תְּפִלִּין:
בָּרוּךְ שֵׁם כְּבוֹד מַלְכוּתוֹ לְעוֹלָם וָעֶד:
וּמֵחָכְמָתְ֒ךָ אֵל עֶלְיוֹן תַּאֲצִיל עָלַי וּמִבִּינָתְ֒ךָ תְּבִינֵֽנִי וּבְחַסְדְּ֒ךָ תַּגְדִּיל עָלַי וּבִגְבוּרָתְ֒ךָ תַּצְמִית אוֹיְ֒בַי וְקָמַי וְשֶׁמֶן הַטּוֹב תָּרִיק עַל שִׁבְעָה קְנֵי הַמְּ֒נוֹרָה לְהַשְׁפִּֽיעַ טוּבְ֒ךָ לִבְרִיּוֹתֶֽיךָ: פּוֹתֵחַ אֶת־יָדֶֽךָ וּמַשְׂבִּֽיעַ לְכָל־חַי רָצוֹן:
וְאֵרַשְׂתִּיךְ לִי לְעוֹלָם, וְאֵרַשְׂתִּיךְ לִי בְּצֶֽדֶק וּבְמִשְׁפָּט וּבְחֶֽסֶד וּבְרַחֲמִים: וְאֵרַשְׂתִּיךְ לִי בֶּאֱמוּנָה, וְיָדַֽעַתְּ אֶת־יְהֹוָה:
וַיְדַבֵּר יְהֹוָה אֶל־משֶׁה לֵּאמֹר: קַדֶּשׁ־לִי כָל־בְּכוֹר פֶּֽטֶר כָּל־רֶֽחֶם בִּבְנֵי יִשְׂרָאֵל בָּאָדָם וּבַבְּ֒הֵמָה לִי הוּא: וַיֹּֽאמֶר משֶׁה אֶל־הָעָם זָכוֹר אֶת־הַיּוֹם הַזֶּה אֲשֶׁר יְצָאתֶם מִמִּצְרַֽיִם מִבֵּית עֲבָדִים כִּי בְּחֹֽזֶק יָד הוֹצִיא יְהֹוָה אֶתְכֶם מִזֶּה וְלֹא יֵאָכֵל חָמֵץ: הַיּוֹם אַתֶּם יֹצְ֒אִים בְּחֹֽדֶשׁ הָאָבִיב: וְהָיָה כִי־יְבִיאֲךָ יְהֹוָה אֶל־אֶֽרֶץ הַכְּ֒נַעֲנִי וְהַחִתִּי וְהָאֱמֹרִי וְהַחִוִּי וְהַיְבוּסִי אֲשֶׁר נִשְׁבַּע לַאֲבֹתֶֽיךָ לָֽתֶת לָךְ אֶֽרֶץ זָבַת חָלָב וּדְבָשׁ וְעָבַדְתָּ אֶת־הָעֲבֹדָה הַזֹּאת בַּחֹֽדֶשׁ הַזֶּה: שִׁבְעַת יָמִים תֹּאכַל מַצֹּת וּבַיּוֹם הַשְּׁ֒בִיעִי חַג לַיהוָֹה: מַצּוֹת יֵאָכֵל אֵת שִׁבְעַת הַיָּמִים וְלֹא־יֵרָאֶה לְךָ חָמֵץ וְלֹא־יֵרָאֶה לְךָ שְׂאֹר בְּכָל־גְּבֻלֶֽךָ: וְהִגַּדְתָּ לְבִנְךָ בַּיּוֹם הַהוּא לֵאמֹר בַּֽעֲבוּר זֶה עָשָׂה יְהֹוָה לִי בְּצֵאתִי מִמִּצְרָֽיִם: וְהָיָה לְךָ לְאוֹת עַל־יָדְ֒ךָ וּלְזִכָּרוֹן בֵּין עֵינֶֽיךָ לְמַֽעַן תִּֽהְיֶה תּוֹרַת יְהֹוָה בְּפִֽיךָ כִּי בְּיָד חֲזָקָה הוֹצִאֲךָ יְהֹוָה מִמִּצְרָֽיִם: וְשָׁמַרְתָּ אֶת־הַחֻקָּה הַזֹּאת לְמוֹעֲדָהּ מִיָּמִים יָמִֽימָה:
וְהָיָה כִּי־יְבִאֲךָ יְהֹוָה אֶל־אֶֽרֶץ הַכְּ֒נַעֲנִי כַּאֲשֶׁר נִשְׁבַּע לְךָ וְלַאֲבֹתֶֽיךָ וּנְתָנָהּ לָךְ: וְהַעֲבַרְתָּ כָל־פֶּֽטֶר־רֶֽחֶם לַֽיהוָֹה וְכָל פֶּֽטֶר שֶֽׁגֶר בְּהֵמָה אֲשֶׁר יִהְיֶה לְךָ הַזְּ֒כָרִים לַיהוָֹה: וְכָל־פֶּֽטֶר חֲמֹר תִּפְדֶּה בְשֶׂה וְאִם־לֹא תִפְדֶּה וַעֲרַפְתּוֹ וְכֹל בְּכוֹר אָדָם בְּבָנֶֽיךָ תִּפְדֶּה: וְהָיָה כִּי־יִשְׁאָלְ֒ךָ בִנְךָ מָחָר לֵאמֹר מַה־זֹּאת וְאָמַרְתָּ אֵלָיו בְּחֹֽזֶק יָד הוֹצִיאָֽנוּ יְהֹוָה מִמִּצְרַֽיִם מִבֵּית עֲבָדִים: וַיְהִי כִּי־הִקְשָׁה פַרְעֹה לְשַׁלְּ֒חֵנוּ וַיַּהֲרֹג יְהֹוָה כָּל־בְּכוֹר בְּאֶֽרֶץ מִצְרַֽיִם מִבְּֽ֒כֹר אָדָם וְעַד־בְּכוֹר בְּהֵמָה עַל־כֵּן אֲנִי זֹבֵֽחַ לַֽיהוָֹה כָּל־פֶּֽטֶר רֶֽחֶם הַזְּ֒כָרִים וְכָל־בְּכוֹר בָּנַי אֶפְדֶּה: וְהָיָה לְאוֹת עַל־יָדְ֒כָה וּלְטוֹטָפֹת בֵּין עֵינֶֽיךָ כִּי בְּחֹֽזֶק יָד הוֹצִיאָֽנוּ יְהֹוָה מִמִּצְרָֽיִם:
אֵל מֶֽלֶךְ נֶאֱמָן:
שְׁמַע יִשְׂרָאֵל יְהֹוָה אֱלֹהֵֽינוּ יְהֹוָה אֶחָד: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וְהָיָה אִם־שָׁמֹֽעַ תִּשְׁמְ֒עוּ אֶל־מִצְוֹתַי אֲשֶׁר֯ אָ֯נֹכִי מְצַוֶּה אֶתְכֶם הַיּוֹם לְאַהֲבָה אֶת־יְהֹוָה אֱלֹהֵיכֶם וּלְעָבְדוֹ בְּכָל֯־לְ֯בַבְכֶם וּבְכָל־נַפְשְׁ֒כֶם: וְנָתַתִּי מְטַר֯־אַ֯רְצְ֒כֶם בְּעִתּוֹ֯ י֯וֹרֶה וּמַלְקוֹשׁ וְאָסַפְתָּ דְגָנֶֽךָ וְתִירשְׁ֒ךָ וְיִצְהָרֶֽךָ: וְנָתַתִּי עֵֽשֶׂב֯ בְּ֯שָׂדְ֒ךָ לִבְהֶמְתֶּֽךָ וְאָכַלְתָּ וְשָׂבָֽעְתָּ: הִשָּׁמְ֒רוּ לָכֶם פֶּן֯־יִ֯פְתֶּה לְבַבְכֶם וְסַרְתֶּם וַעֲבַדְתֶּם אֱלֹהִים֯ אֲ֯חֵרִים וְהִשְׁתַּחֲוִיתֶם לָהֶם: וְחָרָה אַף־יְהֹוָה בָּכֶם וְעָצַר֯ אֶ֯ת־הַשָּׁמַֽיִם וְלֹא֯־יִ֯הְיֶה מָטָר וְהָאֲדָמָה לֹא תִתֵּן אֶת֯־יְ֯בוּלָהּ וַאֲבַדְתֶּם֯ מְ֯הֵרָה מֵעַל הָאָֽרֶץ הַטֹּבָה אֲשֶׁר֯ יְ֯הֹוָה נֹתֵן לָכֶם: וְשַׂמְתֶּם֯ אֶ֯ת־דְּבָרַי֯ אֵֽ֯לֶּה עַל֯־לְ֯בַבְכֶם וְעַל־נַפְשְׁ֒כֶם וּקְשַׁרְתֶּם֯ אֹ֯תָם לְאוֹת עַל֯־יֶ֯דְכֶם וְהָיוּ לְטוֹטָפֹת בֵּין עֵינֵיכֶם: וְלִמַּדְתֶּם֯ אֹ֯תָם אֶת־בְּנֵיכֶם לְדַבֵּר בָּם בְּשִׁבְתְּ֒ךָ בְּבֵיתֶֽךָ וּבְלֶכְתְּ֒ךָ בַדֶּֽרֶךְ וּבְשָׁכְבְּ֒ךָ וּבְקוּמֶֽךָ: וּכְתַבְתָּם עַל־מְזוּזוֹת בֵּיתֶֽךָ וּבִשְׁעָרֶֽיךָ: לְמַֽעַן֯ יִ֯רְבּוּ יְמֵיכֶם וִימֵי בְנֵיכֶם עַל הָאֲדָמָה אֲשֶׁר נִשְׁבַּע יְהֹוָה לַאֲבֹתֵיכֶם לָתֵת לָהֶם כִּימֵי הַשָּׁמַֽיִם עַל־הָאָֽרֶץ:
וַֽיֹּאמֶר֯ יְ֯הֹוָה֯ אֶ֯ל־משֶׁה לֵּאמֹר: דַּבֵּר֯ אֶ֯ל־בְּנֵי יִשְׂרָאֵל וְאָמַרְתָּ אֲלֵהֶם וְעָשׂוּ לָהֶם צִיצִת עַל־כַּנְפֵי בִגְ֒דֵיהֶם לְדֹרֹתָם וְנָתְ֒נוּ עַל־צִיצִת הַכָּנָף֯ פְּ֯תִיל תְּכֵֽלֶת: וְהָיָה לָכֶם לְצִיצִת וּרְאִיתֶם֯ אֹ֯תוֹ וּזְכַרְתֶּם֯ אֶ֯ת־כָּל־מִצְוֹת֯ יְ֯הֹוָה וַעֲשִׂיתֶם֯ אֹ֯תָם וְלֹא תָתֽוּרוּ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אֱ֯מֶת</t>
        </is>
      </c>
      <c r="F562" s="10" t="inlineStr"/>
      <c r="G562" s="11" t="inlineStr">
        <is>
          <t>Siddur Ashkenaz, Weekday, Shacharit, Preparatory Prayers, Tefillin</t>
        </is>
      </c>
      <c r="H562" s="8" t="inlineStr">
        <is>
          <t>The Metsudah siddur, 1981 — CC-BY</t>
        </is>
      </c>
      <c r="I562" s="8" t="inlineStr">
        <is>
          <t>tefillin</t>
        </is>
      </c>
    </row>
  </sheetData>
  <autoFilter ref="A1:I56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B68532"/>
    <outlinePr summaryBelow="1" summaryRight="1"/>
    <pageSetUpPr/>
  </sheetPr>
  <dimension ref="A1:F7"/>
  <sheetViews>
    <sheetView showGridLines="0" zoomScale="90" workbookViewId="0">
      <pane ySplit="4" topLeftCell="A5" activePane="bottomLeft" state="frozen"/>
      <selection pane="bottomLeft" activeCell="A1" sqref="A1"/>
    </sheetView>
  </sheetViews>
  <sheetFormatPr baseColWidth="8" defaultRowHeight="15"/>
  <cols>
    <col width="26" customWidth="1" min="1" max="1"/>
    <col width="28" customWidth="1" min="2" max="2"/>
    <col width="20" customWidth="1" min="3" max="3"/>
    <col width="52" customWidth="1" min="4" max="4"/>
    <col width="72" customWidth="1" min="5" max="5"/>
    <col width="46" customWidth="1" min="6" max="6"/>
  </cols>
  <sheetData>
    <row r="1" ht="38" customHeight="1">
      <c r="A1" s="15" t="inlineStr">
        <is>
          <t>Section-level review required</t>
        </is>
      </c>
    </row>
    <row r="2" ht="48" customHeight="1">
      <c r="A2" s="16" t="inlineStr">
        <is>
          <t>These three catalog entries represent full services, not individual prayer texts. The project review inventory says each needs a section-level source plan. No Hebrew candidate is ready; therefore these cannot be approved by leaving comments blank.</t>
        </is>
      </c>
    </row>
    <row r="4">
      <c r="A4" s="6" t="inlineStr">
        <is>
          <t>Review status</t>
        </is>
      </c>
      <c r="B4" s="6" t="inlineStr">
        <is>
          <t>Service</t>
        </is>
      </c>
      <c r="C4" s="6" t="inlineStr">
        <is>
          <t>Proposed tradition</t>
        </is>
      </c>
      <c r="D4" s="6" t="inlineStr">
        <is>
          <t>Hebrew text</t>
        </is>
      </c>
      <c r="E4" s="6" t="inlineStr">
        <is>
          <t>Source / review note</t>
        </is>
      </c>
      <c r="F4" s="6" t="inlineStr">
        <is>
          <t>Rabbi comments</t>
        </is>
      </c>
    </row>
    <row r="5" ht="60" customHeight="1">
      <c r="A5" s="17" t="inlineStr">
        <is>
          <t>Section review required</t>
        </is>
      </c>
      <c r="B5" s="17" t="inlineStr">
        <is>
          <t>Shacharit</t>
        </is>
      </c>
      <c r="C5" s="17" t="inlineStr">
        <is>
          <t>Ashkenaz</t>
        </is>
      </c>
      <c r="D5" s="17" t="inlineStr">
        <is>
          <t>No Hebrew candidate is ready for approval.</t>
        </is>
      </c>
      <c r="E5" s="17" t="inlineStr">
        <is>
          <t>Siddur Ashkenaz, Weekday Shacharit. Service collection, not a single prayer. Source snapshot not yet pinned; section-level source plan required.</t>
        </is>
      </c>
      <c r="F5" s="17" t="inlineStr"/>
    </row>
    <row r="6" ht="60" customHeight="1">
      <c r="A6" s="17" t="inlineStr">
        <is>
          <t>Section review required</t>
        </is>
      </c>
      <c r="B6" s="17" t="inlineStr">
        <is>
          <t>Mincha</t>
        </is>
      </c>
      <c r="C6" s="17" t="inlineStr">
        <is>
          <t>Ashkenaz</t>
        </is>
      </c>
      <c r="D6" s="17" t="inlineStr">
        <is>
          <t>No Hebrew candidate is ready for approval.</t>
        </is>
      </c>
      <c r="E6" s="17" t="inlineStr">
        <is>
          <t>Siddur Ashkenaz, Weekday Minchah. Service collection, not a single prayer. Source snapshot not yet pinned; section-level source plan required.</t>
        </is>
      </c>
      <c r="F6" s="17" t="inlineStr"/>
    </row>
    <row r="7" ht="60" customHeight="1">
      <c r="A7" s="17" t="inlineStr">
        <is>
          <t>Section review required</t>
        </is>
      </c>
      <c r="B7" s="17" t="inlineStr">
        <is>
          <t>Maariv</t>
        </is>
      </c>
      <c r="C7" s="17" t="inlineStr">
        <is>
          <t>Ashkenaz</t>
        </is>
      </c>
      <c r="D7" s="17" t="inlineStr">
        <is>
          <t>No Hebrew candidate is ready for approval.</t>
        </is>
      </c>
      <c r="E7" s="17" t="inlineStr">
        <is>
          <t>Siddur Ashkenaz, Weekday Maariv. Service collection, not a single prayer. Source snapshot not yet pinned; section-level source plan required.</t>
        </is>
      </c>
      <c r="F7" s="17" t="inlineStr"/>
    </row>
  </sheetData>
  <autoFilter ref="A4:F7"/>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2026-09-29T21:40:37Z</dcterms:created>
  <dcterms:modified xmlns:dcterms="http://purl.org/dc/terms/" xmlns:xsi="http://www.w3.org/2001/XMLSchema-instance" xsi:type="dcterms:W3CDTF">2026-09-29T21:40:38Z</dcterms:modified>
</cp:coreProperties>
</file>