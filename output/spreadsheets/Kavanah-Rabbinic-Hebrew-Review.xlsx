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bbi Review" sheetId="1" state="visible" r:id="rId1"/>
  </sheets>
  <definedNames>
    <definedName name="_xlnm._FilterDatabase" localSheetId="0" hidden="1">'Rabbi Review'!$A$4:$H$34</definedName>
    <definedName name="_xlnm.Print_Titles" localSheetId="0">'Rabbi Review'!$1:$4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9"/>
    </font>
    <font>
      <name val="Arial"/>
      <i val="1"/>
      <color rgb="00183B35"/>
      <sz val="11"/>
    </font>
    <font>
      <name val="Arial"/>
      <color rgb="0052615B"/>
      <sz val="10"/>
    </font>
    <font>
      <name val="Arial"/>
      <b val="1"/>
      <color rgb="00FFFFFF"/>
      <sz val="10"/>
    </font>
    <font>
      <name val="Arial"/>
      <color rgb="0024332F"/>
      <sz val="10"/>
    </font>
    <font>
      <name val="Arial"/>
      <b val="1"/>
      <color rgb="00183B35"/>
      <sz val="10"/>
    </font>
    <font>
      <name val="Arial"/>
      <color rgb="0024332F"/>
      <sz val="13"/>
    </font>
    <font>
      <name val="Arial"/>
      <color rgb="00172723"/>
      <sz val="14"/>
    </font>
    <font>
      <name val="Arial"/>
      <color rgb="00176B87"/>
      <sz val="10"/>
      <u val="single"/>
    </font>
  </fonts>
  <fills count="7">
    <fill>
      <patternFill/>
    </fill>
    <fill>
      <patternFill patternType="gray125"/>
    </fill>
    <fill>
      <patternFill patternType="solid">
        <fgColor rgb="00183B35"/>
      </patternFill>
    </fill>
    <fill>
      <patternFill patternType="solid">
        <fgColor rgb="00EAF2ED"/>
      </patternFill>
    </fill>
    <fill>
      <patternFill patternType="solid">
        <fgColor rgb="0034685C"/>
      </patternFill>
    </fill>
    <fill>
      <patternFill patternType="solid">
        <fgColor rgb="00FFF8E8"/>
      </patternFill>
    </fill>
    <fill>
      <patternFill patternType="solid">
        <fgColor rgb="00F6F9F7"/>
      </patternFill>
    </fill>
  </fills>
  <borders count="2">
    <border>
      <left/>
      <right/>
      <top/>
      <bottom/>
      <diagonal/>
    </border>
    <border>
      <bottom style="hair">
        <color rgb="00D7E1DC"/>
      </bottom>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0" borderId="0" applyAlignment="1" pivotButton="0" quotePrefix="0" xfId="0">
      <alignment vertical="center"/>
    </xf>
    <xf numFmtId="0" fontId="4" fillId="4" borderId="0" applyAlignment="1" pivotButton="0" quotePrefix="0" xfId="0">
      <alignment vertical="center" wrapText="1"/>
    </xf>
    <xf numFmtId="0" fontId="6"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horizontal="right" vertical="top" wrapText="1" readingOrder="2"/>
    </xf>
    <xf numFmtId="0" fontId="9" fillId="0"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8" fillId="6" borderId="1" applyAlignment="1" pivotButton="0" quotePrefix="0" xfId="0">
      <alignment horizontal="right" vertical="top" wrapText="1" readingOrder="2"/>
    </xf>
    <xf numFmtId="0" fontId="9"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faria.org/Siddur_Sefard%2C_Upon_Arising%2C_Modeh_Ani" TargetMode="External" Id="rId1"/><Relationship Type="http://schemas.openxmlformats.org/officeDocument/2006/relationships/hyperlink" Target="https://www.sefaria.org/Siddur_Ashkenaz%2C_Weekday%2C_Shacharit%2C_Blessings_of_the_Shema%2C_Shema" TargetMode="External" Id="rId2"/><Relationship Type="http://schemas.openxmlformats.org/officeDocument/2006/relationships/hyperlink" Target="https://www.sefaria.org/Siddur_Ashkenaz%2C_Weekday%2C_Shacharit%2C_Preparatory_Prayers%2C_Tefillin" TargetMode="External" Id="rId3"/><Relationship Type="http://schemas.openxmlformats.org/officeDocument/2006/relationships/hyperlink" Target="https://www.sefaria.org/Siddur_Ashkenaz%2C_Weekday%2C_Shacharit%2C_Preparatory_Prayers%2C_Tallit" TargetMode="External" Id="rId4"/><Relationship Type="http://schemas.openxmlformats.org/officeDocument/2006/relationships/hyperlink" Target="https://www.sefaria.org/Siddur_Ashkenaz%2C_Weekday%2C_Shacharit%2C_Preparatory_Prayers%2C_Asher_Yatzar" TargetMode="External" Id="rId5"/><Relationship Type="http://schemas.openxmlformats.org/officeDocument/2006/relationships/hyperlink" Target="https://www.sefaria.org/Siddur_Ashkenaz%2C_Weekday%2C_Shacharit%2C_Preparatory_Prayers%2C_Torah_Blessings" TargetMode="External" Id="rId6"/><Relationship Type="http://schemas.openxmlformats.org/officeDocument/2006/relationships/hyperlink" Target="https://www.sefaria.org/Siddur_Sefard%2C_Blessings%2C_Traveler's_Prayer" TargetMode="External" Id="rId7"/><Relationship Type="http://schemas.openxmlformats.org/officeDocument/2006/relationships/hyperlink" Target="https://www.sefaria.org/Psalms_121" TargetMode="External" Id="rId8"/><Relationship Type="http://schemas.openxmlformats.org/officeDocument/2006/relationships/hyperlink" Target="https://www.sefaria.org/Psalms_23" TargetMode="External" Id="rId9"/><Relationship Type="http://schemas.openxmlformats.org/officeDocument/2006/relationships/hyperlink" Target="https://www.sefaria.org/Siddur_Ashkenaz%2C_Shabbat%2C_Shacharit%2C_Torah_Reading%2C_Reading_from_Sefer%2C_Mi_Sheberach%2C_For_Sickness_(includes_man_and_woman)" TargetMode="External" Id="rId10"/><Relationship Type="http://schemas.openxmlformats.org/officeDocument/2006/relationships/hyperlink" Target="https://www.sefaria.org/Siddur_Ashkenaz%2C_Berachot%2C_Birkat_Hanehenin%2C_Eating%2C_Barachot_Rishonot" TargetMode="External" Id="rId11"/><Relationship Type="http://schemas.openxmlformats.org/officeDocument/2006/relationships/hyperlink" Target="https://www.sefaria.org/Siddur_Ashkenaz%2C_Berachot%2C_Birkat_HaMazon" TargetMode="External" Id="rId12"/><Relationship Type="http://schemas.openxmlformats.org/officeDocument/2006/relationships/hyperlink" Target="https://www.sefaria.org/Siddur_Ashkenaz%2C_Berachot%2C_Birkat_Hanehenin%2C_Eating%2C_Brachot_Achronot%2C_Borei_Nefashot" TargetMode="External" Id="rId13"/><Relationship Type="http://schemas.openxmlformats.org/officeDocument/2006/relationships/hyperlink" Target="https://www.sefaria.org/Siddur_Sefard%2C_Blessings%2C_Shehecheyanu" TargetMode="External" Id="rId14"/><Relationship Type="http://schemas.openxmlformats.org/officeDocument/2006/relationships/hyperlink" Target="https://www.sefaria.org/Siddur_Sefard%2C_Bedtime_Shema" TargetMode="External" Id="rId15"/><Relationship Type="http://schemas.openxmlformats.org/officeDocument/2006/relationships/hyperlink" Target="https://www.sefaria.org/Siddur_Ashkenaz%2C_Kaddish%2C_Mourner's_Kaddish" TargetMode="External" Id="rId16"/><Relationship Type="http://schemas.openxmlformats.org/officeDocument/2006/relationships/hyperlink" Target="https://www.sefaria.org/Siddur_Ashkenaz%2C_Shabbat%2C_Maariv%2C_Aleinu" TargetMode="External" Id="rId17"/><Relationship Type="http://schemas.openxmlformats.org/officeDocument/2006/relationships/hyperlink" Target="https://www.sefaria.org/Siddur_Ashkenaz%2C_Shabbat%2C_Maariv%2C_Adon_Olam" TargetMode="External" Id="rId18"/><Relationship Type="http://schemas.openxmlformats.org/officeDocument/2006/relationships/hyperlink" Target="https://www.sefaria.org/Siddur_Ashkenaz%2C_Shabbat%2C_Shabbat_Evening%2C_Kiddush" TargetMode="External" Id="rId19"/><Relationship Type="http://schemas.openxmlformats.org/officeDocument/2006/relationships/hyperlink" Target="https://www.sefaria.org/Siddur_Ashkenaz%2C_Shabbat%2C_Havdalah" TargetMode="External" Id="rId20"/><Relationship Type="http://schemas.openxmlformats.org/officeDocument/2006/relationships/hyperlink" Target="https://www.sefaria.org/Siddur_Sefard%2C_Shabbat_Candle_Lighting" TargetMode="External" Id="rId21"/><Relationship Type="http://schemas.openxmlformats.org/officeDocument/2006/relationships/hyperlink" Target="https://www.sefaria.org/Siddur_Ashkenaz%2C_Festivals%2C_Chanukah%2C_Service_for_Lighting_Chanukah_Candles%2C_Blessings_on_Chanukah_Candles" TargetMode="External" Id="rId22"/><Relationship Type="http://schemas.openxmlformats.org/officeDocument/2006/relationships/hyperlink" Target="https://www.sefaria.org/Siddur_Edot_HaMizrach%2C_Counting_of_the_Omer" TargetMode="External" Id="rId23"/><Relationship Type="http://schemas.openxmlformats.org/officeDocument/2006/relationships/hyperlink" Target="https://www.sefaria.org/Siddur_Ashkenaz%2C_Weekday%2C_Shacharit%2C_Post_Amidah%2C_Vidui_and_13_Middot" TargetMode="External" Id="rId24"/><Relationship Type="http://schemas.openxmlformats.org/officeDocument/2006/relationships/hyperlink" Target="https://www.sefaria.org/Siddur_Sefard%2C_Various_Prayers_%26_Segulot%2C_Prayer_for_Livelihood" TargetMode="External" Id="rId25"/><Relationship Type="http://schemas.openxmlformats.org/officeDocument/2006/relationships/hyperlink" Target="https://www.sefaria.org/Siddur_Ashkenaz%2C_Shabbat%2C_Kabbalat_Shabbat%2C_Ana_Bekoach" TargetMode="External" Id="rId26"/><Relationship Type="http://schemas.openxmlformats.org/officeDocument/2006/relationships/hyperlink" Target="https://www.sefaria.org/Siddur_Ashkenaz%2C_Shabbat%2C_Shacharit%2C_Pesukei_Dezimra%2C_Nishmat_Kol_Chai" TargetMode="External" Id="rId27"/><Relationship Type="http://schemas.openxmlformats.org/officeDocument/2006/relationships/hyperlink" Target="https://www.sefaria.org/Siddur_Ashkenaz%2C_Shabbat%2C_Shacharit%2C_Communal_Prayers%2C_Prayer_of_the_State_of_Israel" TargetMode="External" Id="rId28"/><Relationship Type="http://schemas.openxmlformats.org/officeDocument/2006/relationships/hyperlink" Target="https://www.sefaria.org/Siddur_Ashkenaz%2C_Shabbat%2C_Shacharit%2C_Communal_Prayers%2C_Prayer_for_Israeli_Soldiers" TargetMode="External" Id="rId29"/><Relationship Type="http://schemas.openxmlformats.org/officeDocument/2006/relationships/hyperlink" Target="https://he.wikisource.org/wiki/&#1505;&#1497;&#1491;&#1493;&#1512;/&#1504;&#1493;&#1505;&#1495;_&#1488;&#1513;&#1499;&#1504;&#1494;/&#1492;&#1494;&#1499;&#1512;&#1514;_&#1504;&#1513;&#1502;&#1493;&#1514;" TargetMode="External" Id="rId30"/></Relationships>
</file>

<file path=xl/worksheets/sheet1.xml><?xml version="1.0" encoding="utf-8"?>
<worksheet xmlns="http://schemas.openxmlformats.org/spreadsheetml/2006/main">
  <sheetPr>
    <tabColor rgb="0034685C"/>
    <outlinePr summaryBelow="1" summaryRight="1"/>
    <pageSetUpPr fitToPage="1"/>
  </sheetPr>
  <dimension ref="A1:H34"/>
  <sheetViews>
    <sheetView showGridLines="0" rightToLeft="0" zoomScale="75" workbookViewId="0">
      <pane xSplit="3" ySplit="4" topLeftCell="D5" activePane="bottomRight" state="frozen"/>
      <selection pane="topRight"/>
      <selection pane="bottomLeft"/>
      <selection pane="bottomRight" activeCell="A1" sqref="A1"/>
    </sheetView>
  </sheetViews>
  <sheetFormatPr baseColWidth="8" defaultRowHeight="15"/>
  <cols>
    <col width="23" customWidth="1" min="1" max="1"/>
    <col width="28" customWidth="1" min="2" max="2"/>
    <col width="20" customWidth="1" min="3" max="3"/>
    <col width="95" customWidth="1" min="4" max="4"/>
    <col width="42" customWidth="1" min="5" max="5"/>
    <col width="48" customWidth="1" min="6" max="6"/>
    <col width="48" customWidth="1" min="7" max="7"/>
    <col width="23" customWidth="1" min="8" max="8"/>
  </cols>
  <sheetData>
    <row r="1" ht="36" customHeight="1">
      <c r="A1" s="1" t="inlineStr">
        <is>
          <t>Kavanah | Hebrew Prayer Review</t>
        </is>
      </c>
    </row>
    <row r="2" ht="38" customHeight="1">
      <c r="A2" s="2" t="inlineStr">
        <is>
          <t>How to review: Read each Hebrew text. Leave “Rabbi comments” blank to approve it. Write any correction, question, or requested change in that row’s Rabbi comments cell. Blank = approved; any comment = Kavanah follow-up.</t>
        </is>
      </c>
    </row>
    <row r="3" ht="23" customHeight="1">
      <c r="A3" s="3" t="inlineStr">
        <is>
          <t>Please review the Hebrew text as shown, including spelling, vowel marks, Divine Name, completeness, and tradition. Sources are linked in each row.</t>
        </is>
      </c>
    </row>
    <row r="4" ht="30" customHeight="1">
      <c r="A4" s="4" t="inlineStr">
        <is>
          <t>Review status</t>
        </is>
      </c>
      <c r="B4" s="4" t="inlineStr">
        <is>
          <t>Prayer</t>
        </is>
      </c>
      <c r="C4" s="4" t="inlineStr">
        <is>
          <t>Proposed tradition</t>
        </is>
      </c>
      <c r="D4" s="4" t="inlineStr">
        <is>
          <t>Hebrew text</t>
        </is>
      </c>
      <c r="E4" s="4" t="inlineStr">
        <is>
          <t>Context / review note</t>
        </is>
      </c>
      <c r="F4" s="4" t="inlineStr">
        <is>
          <t>Source edition</t>
        </is>
      </c>
      <c r="G4" s="4" t="inlineStr">
        <is>
          <t>Rabbi comments</t>
        </is>
      </c>
      <c r="H4" s="4" t="inlineStr">
        <is>
          <t>Catalog ID</t>
        </is>
      </c>
    </row>
    <row r="5" ht="62" customHeight="1">
      <c r="A5" s="5">
        <f>IF(LEN(TRIM(G5))=0,"Approved","Comment to address")</f>
        <v/>
      </c>
      <c r="B5" s="6" t="inlineStr">
        <is>
          <t>Modeh Ani</t>
        </is>
      </c>
      <c r="C5" s="6" t="inlineStr">
        <is>
          <t>Common</t>
        </is>
      </c>
      <c r="D5" s="7" t="inlineStr">
        <is>
          <t>מוֹדֶה אֲנִי לְפָנֶֽיךָ מֶֽלֶךְ חַי וְקַיָּם שֶׁהֶחֱזַֽרְתָּ בִּי נִשְׁמָתִי בְּחֶמְלָה, רַבָּה אֱמוּנָתֶֽךָ:</t>
        </is>
      </c>
      <c r="E5" s="6" t="inlineStr">
        <is>
          <t>No special note.</t>
        </is>
      </c>
      <c r="F5" s="8" t="inlineStr">
        <is>
          <t>Siddur Sefard, Upon Arising, Modeh Ani — The Metsudah siddur, 1981
License: CC-BY</t>
        </is>
      </c>
      <c r="G5" s="9" t="inlineStr"/>
      <c r="H5" s="6" t="inlineStr">
        <is>
          <t>modeh-ani</t>
        </is>
      </c>
    </row>
    <row r="6" ht="409" customHeight="1">
      <c r="A6" s="5">
        <f>IF(LEN(TRIM(G6))=0,"Approved","Comment to address")</f>
        <v/>
      </c>
      <c r="B6" s="10" t="inlineStr">
        <is>
          <t>Shema</t>
        </is>
      </c>
      <c r="C6" s="10" t="inlineStr">
        <is>
          <t>Scriptural</t>
        </is>
      </c>
      <c r="D6" s="11" t="inlineStr">
        <is>
          <t>שְׁמַע יִשְׂרָאֵל יְהֹוָה אֱלֹהֵֽינוּ יְהֹוָה אֶחָד: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t>
        </is>
      </c>
      <c r="E6" s="10" t="inlineStr">
        <is>
          <t>The app currently includes only the declaration and first verse of Ve'ahavta.</t>
        </is>
      </c>
      <c r="F6" s="12" t="inlineStr">
        <is>
          <t>Siddur Ashkenaz, Weekday, Shacharit, Blessings of the Shema, Shema — The Metsudah siddur, 1981
License: CC-BY</t>
        </is>
      </c>
      <c r="G6" s="9" t="inlineStr"/>
      <c r="H6" s="10" t="inlineStr">
        <is>
          <t>shema</t>
        </is>
      </c>
    </row>
    <row r="7" ht="62" customHeight="1">
      <c r="A7" s="5">
        <f>IF(LEN(TRIM(G7))=0,"Approved","Comment to address")</f>
        <v/>
      </c>
      <c r="B7" s="6" t="inlineStr">
        <is>
          <t>Blessing for Tefillin</t>
        </is>
      </c>
      <c r="C7" s="6" t="inlineStr">
        <is>
          <t>Ashkenaz</t>
        </is>
      </c>
      <c r="D7" s="7" t="inlineStr">
        <is>
          <t>בָּרוּךְ אַתָּה יְהֹוָה אֱלֹהֵֽינוּ מֶֽלֶךְ הָעוֹלָם אֲשֶׁר קִדְּ֒שָֽׁנוּ בְּמִצְוֹתָיו וְצִוָּנוּ לְהָנִיחַ תְּפִלִּין:</t>
        </is>
      </c>
      <c r="E7" s="6" t="inlineStr">
        <is>
          <t>No special note.</t>
        </is>
      </c>
      <c r="F7" s="8" t="inlineStr">
        <is>
          <t>Siddur Ashkenaz, Weekday, Shacharit, Preparatory Prayers, Tefillin — The Metsudah siddur, 1981
License: CC-BY</t>
        </is>
      </c>
      <c r="G7" s="9" t="inlineStr"/>
      <c r="H7" s="6" t="inlineStr">
        <is>
          <t>tefillin-blessing</t>
        </is>
      </c>
    </row>
    <row r="8" ht="62" customHeight="1">
      <c r="A8" s="5">
        <f>IF(LEN(TRIM(G8))=0,"Approved","Comment to address")</f>
        <v/>
      </c>
      <c r="B8" s="10" t="inlineStr">
        <is>
          <t>Blessing for Tallit</t>
        </is>
      </c>
      <c r="C8" s="10" t="inlineStr">
        <is>
          <t>Ashkenaz</t>
        </is>
      </c>
      <c r="D8" s="11" t="inlineStr">
        <is>
          <t>בָּרוּךְ אַתָּה יְהֹוָה אֱלֹהֵֽינוּ מֶֽלֶךְ הָעוֹלָם אֲשֶׁר קִדְּ֒שָֽׁנוּ בְּמִצְוֹתָיו וְצִוָּנוּ לְהִתְעַטֵּף בַּצִּיצִית:</t>
        </is>
      </c>
      <c r="E8" s="10" t="inlineStr">
        <is>
          <t>No special note.</t>
        </is>
      </c>
      <c r="F8" s="12" t="inlineStr">
        <is>
          <t>Siddur Ashkenaz, Weekday, Shacharit, Preparatory Prayers, Tallit — The Metsudah siddur, 1981
License: CC-BY</t>
        </is>
      </c>
      <c r="G8" s="9" t="inlineStr"/>
      <c r="H8" s="10" t="inlineStr">
        <is>
          <t>tallit-blessing</t>
        </is>
      </c>
    </row>
    <row r="9" ht="142" customHeight="1">
      <c r="A9" s="5">
        <f>IF(LEN(TRIM(G9))=0,"Approved","Comment to address")</f>
        <v/>
      </c>
      <c r="B9" s="6" t="inlineStr">
        <is>
          <t>Asher Yatzar</t>
        </is>
      </c>
      <c r="C9" s="6" t="inlineStr">
        <is>
          <t>Ashkenaz</t>
        </is>
      </c>
      <c r="D9" s="7" t="inlineStr">
        <is>
          <t>בָּרוּךְ אַתָּה יְהֹוָה אֱלֹהֵֽינוּ מֶֽלֶךְ הָעוֹלָם אֲשֶׁר יָצַר אֶת־הָאָדָם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כָל־בָּשָׂר וּמַפְלִיא לַעֲשׂוֹת:</t>
        </is>
      </c>
      <c r="E9" s="6" t="inlineStr">
        <is>
          <t>Only the concluding blessing is bundled.</t>
        </is>
      </c>
      <c r="F9" s="8" t="inlineStr">
        <is>
          <t>Siddur Ashkenaz, Weekday, Shacharit, Preparatory Prayers, Asher Yatzar — The Metsudah siddur, 1981
License: CC-BY</t>
        </is>
      </c>
      <c r="G9" s="9" t="inlineStr"/>
      <c r="H9" s="6" t="inlineStr">
        <is>
          <t>asher-yatzar</t>
        </is>
      </c>
    </row>
    <row r="10" ht="250" customHeight="1">
      <c r="A10" s="5">
        <f>IF(LEN(TRIM(G10))=0,"Approved","Comment to address")</f>
        <v/>
      </c>
      <c r="B10" s="10" t="inlineStr">
        <is>
          <t>Blessings for Torah Study</t>
        </is>
      </c>
      <c r="C10" s="10" t="inlineStr">
        <is>
          <t>Ashkenaz</t>
        </is>
      </c>
      <c r="D10" s="11" t="inlineStr">
        <is>
          <t>בָּרוּךְ אַתָּה יְהֹוָה אֱלֹהֵֽינוּ מֶֽלֶךְ הָעוֹלָם אֲשֶׁר קִדְּ֒שָֽׁנוּ בְּמִצְוֹתָיו וְצִוָּנוּ לַעֲסֹק בְּדִבְרֵי תוֹרָה:
וְהַעֲרֶב נָא יְהֹוָה אֱלֹהֵֽינוּ אֶת־דִּבְרֵי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אֶת־תּוֹרָתוֹ: בָּרוּךְ אַתָּה יְהֹוָה נוֹתֵן הַתּוֹרָה:</t>
        </is>
      </c>
      <c r="E10" s="10" t="inlineStr">
        <is>
          <t>Only the first blessing is bundled.</t>
        </is>
      </c>
      <c r="F10" s="12" t="inlineStr">
        <is>
          <t>Siddur Ashkenaz, Weekday, Shacharit, Preparatory Prayers, Torah Blessings — The Metsudah siddur, 1981
License: CC-BY</t>
        </is>
      </c>
      <c r="G10" s="9" t="inlineStr"/>
      <c r="H10" s="10" t="inlineStr">
        <is>
          <t>torah-blessings</t>
        </is>
      </c>
    </row>
    <row r="11" ht="232" customHeight="1">
      <c r="A11" s="5">
        <f>IF(LEN(TRIM(G11))=0,"Approved","Comment to address")</f>
        <v/>
      </c>
      <c r="B11" s="6" t="inlineStr">
        <is>
          <t>Tefilat HaDerech</t>
        </is>
      </c>
      <c r="C11" s="6" t="inlineStr">
        <is>
          <t>Ashkenaz</t>
        </is>
      </c>
      <c r="D11" s="7" t="inlineStr">
        <is>
          <t>יְהִי רָצוֹן מִלְפָנֶיךָ יְהֹוָה אֱלֹהֵינוּ וֵאלֹהֵי אֲבוֹתֵינוּ, שֶׁתּוֹלִיכֵנוּ לְשָׁלוֹם וְתַצְעִידֵנוּ לְשָׁלוֹם וְתַדְרִיכֵנוּ לְשָׁלוֹם, וְתִסְמְכֵנִי לְשָׁלוֹם, וְתַגִּיעֵנוּ לִמְחוֹז חֶפְצֵנוּ לְחַיִּים לְשִׂמְחָה וּלְשָׁלוֹם, [וְתַחְזִירֵנִי לְשָׁלוֹם] וְתַצִּילֵנוּ מִכַּף כָּל אוֹיֵב וְאוֹרֵב וְלִסְטִים וְחַיּוֹת רָעוֹת בַּדֶּרֶךְ, וּמִכָּל מִינֵי פֻרְעָנִיּוֹת הַמִּתְרַגְּשׁוֹת וּבָאוֹת לָעוֹלָם וְתִשְׁלַח בְּרָכָה וְהַצְלָחָה בְּכָל מַעֲשֵׂה יָדֵינוּ, וְתִתְּנֵנוּ לְחֵן וּלְחֶסֶד וּלְרַחֲמִים בְּעֵינֶיךָ וּבְעֵינֵי כָל רֹאֵינוּ, וְתִגְמְלֵינוּ חֲסָדִים טוֹבִים וְתִשְׁמַע קוֹל תַּחֲנוּנֵינוּ, כִּי אֵל שֹׁמֵעַ תְּפִלָּה וְתַחֲנוּן אָתָּה: בָּרוּךְ אַתָּה יְהֹוָה, שׁוֹמֵעַ תְּפִלָה:</t>
        </is>
      </c>
      <c r="E11" s="6" t="inlineStr">
        <is>
          <t>No special note.</t>
        </is>
      </c>
      <c r="F11" s="8" t="inlineStr">
        <is>
          <t>Siddur Sefard, Blessings, Traveler's Prayer — Torat Emet 357
License: Public Domain</t>
        </is>
      </c>
      <c r="G11" s="9" t="inlineStr"/>
      <c r="H11" s="6" t="inlineStr">
        <is>
          <t>tefilat-haderech</t>
        </is>
      </c>
    </row>
    <row r="12" ht="322" customHeight="1">
      <c r="A12" s="5">
        <f>IF(LEN(TRIM(G12))=0,"Approved","Comment to address")</f>
        <v/>
      </c>
      <c r="B12" s="10" t="inlineStr">
        <is>
          <t>Psalm 121</t>
        </is>
      </c>
      <c r="C12" s="10" t="inlineStr">
        <is>
          <t>Scriptural</t>
        </is>
      </c>
      <c r="D12" s="11" t="inlineStr">
        <is>
          <t>שִׁ֗יר לַֽמַּ֫עֲל֥וֹת אֶשָּׂ֣א עֵ֭ינַי אֶל־הֶהָרִ֑ים מֵ֝אַ֗יִן יָבֹ֥א עֶזְרִֽי׃
עֶ֭זְרִי מֵעִ֣ם יְהֹוָ֑ה עֹ֝שֵׂ֗ה שָׁמַ֥יִם וָאָֽרֶץ׃
אַל־יִתֵּ֣ן לַמּ֣וֹט רַגְלֶ֑ךָ אַל־יָ֝נ֗וּם שֹׁמְרֶֽךָ׃
הִנֵּ֣ה לֹֽא־יָ֭נוּם וְלֹ֣א יִישָׁ֑ן שׁ֝וֹמֵ֗ר יִשְׂרָאֵֽל׃
יְהֹוָ֥ה שֹׁמְרֶ֑ךָ יְהֹוָ֥ה צִ֝לְּךָ֗ עַל־יַ֥ד יְמִינֶֽךָ׃
יוֹמָ֗ם הַשֶּׁ֥מֶשׁ לֹֽא־יַכֶּ֗כָּה וְיָרֵ֥חַ בַּלָּֽיְלָה׃
יְֽהֹוָ֗ה יִשְׁמׇרְךָ֥ מִכׇּל־רָ֑ע יִ֝שְׁמֹ֗ר אֶת־נַפְשֶֽׁךָ׃
יְֽהֹוָ֗ה יִשְׁמׇר־צֵאתְךָ֥ וּבוֹאֶ֑ךָ מֵ֝עַתָּ֗ה וְעַד־עוֹלָֽם׃ {פ}</t>
        </is>
      </c>
      <c r="E12" s="10" t="inlineStr">
        <is>
          <t>Only verses 1-2 are bundled.</t>
        </is>
      </c>
      <c r="F12" s="12" t="inlineStr">
        <is>
          <t>Psalms 121 — Miqra according to the Masorah
License: CC-BY-SA</t>
        </is>
      </c>
      <c r="G12" s="9" t="inlineStr"/>
      <c r="H12" s="10" t="inlineStr">
        <is>
          <t>psalm-121</t>
        </is>
      </c>
    </row>
    <row r="13" ht="322" customHeight="1">
      <c r="A13" s="5">
        <f>IF(LEN(TRIM(G13))=0,"Approved","Comment to address")</f>
        <v/>
      </c>
      <c r="B13" s="6" t="inlineStr">
        <is>
          <t>Psalm 23</t>
        </is>
      </c>
      <c r="C13" s="6" t="inlineStr">
        <is>
          <t>Scriptural</t>
        </is>
      </c>
      <c r="D13" s="7" t="inlineStr">
        <is>
          <t>מִזְמ֥וֹר לְדָוִ֑ד יְהֹוָ֥ה רֹ֝עִ֗י לֹ֣א אֶחְסָֽר׃
בִּנְא֣וֹת דֶּ֭שֶׁא יַרְבִּיצֵ֑נִי עַל־מֵ֖י מְנֻח֣וֹת יְנַהֲלֵֽנִי׃
נַפְשִׁ֥י יְשׁוֹבֵ֑ב יַֽנְחֵ֥נִי בְמַעְגְּלֵי־צֶ֝֗דֶק לְמַ֣עַן שְׁמֽוֹ׃
גַּ֤ם כִּֽי־אֵלֵ֨ךְ בְּגֵ֪יא צַלְמָ֡וֶת לֹא־אִ֘ירָ֤א רָ֗ע כִּי־אַתָּ֥ה עִמָּדִ֑י שִׁבְטְךָ֥ וּ֝מִשְׁעַנְתֶּ֗ךָ הֵ֣מָּה יְנַֽחֲמֻֽנִי׃
תַּעֲרֹ֬ךְ לְפָנַ֨י ׀ שֻׁלְחָ֗ן נֶ֥גֶד צֹרְרָ֑י דִּשַּׁ֥נְתָּ בַשֶּׁ֥מֶן רֹ֝אשִׁ֗י כּוֹסִ֥י רְוָיָֽה׃
אַ֤ךְ ׀ ט֤וֹב וָחֶ֣סֶד יִ֭רְדְּפוּנִי כׇּל־יְמֵ֣י חַיָּ֑י וְשַׁבְתִּ֥י בְּבֵית־יְ֝הֹוָ֗ה לְאֹ֣רֶךְ יָמִֽים׃ {פ}</t>
        </is>
      </c>
      <c r="E13" s="6" t="inlineStr">
        <is>
          <t>Only verse 1 is bundled.</t>
        </is>
      </c>
      <c r="F13" s="8" t="inlineStr">
        <is>
          <t>Psalms 23 — Miqra according to the Masorah
License: CC-BY-SA</t>
        </is>
      </c>
      <c r="G13" s="9" t="inlineStr"/>
      <c r="H13" s="6" t="inlineStr">
        <is>
          <t>psalm-23</t>
        </is>
      </c>
    </row>
    <row r="14" ht="394" customHeight="1">
      <c r="A14" s="5">
        <f>IF(LEN(TRIM(G14))=0,"Approved","Comment to address")</f>
        <v/>
      </c>
      <c r="B14" s="10" t="inlineStr">
        <is>
          <t>Mi Sheberach for Healing</t>
        </is>
      </c>
      <c r="C14" s="10" t="inlineStr">
        <is>
          <t>Varies</t>
        </is>
      </c>
      <c r="D14" s="11" t="inlineStr">
        <is>
          <t>לזכר: מִי שֶׁבֵּרַךְ אֲבותֵינוּ אַבְרָהָם יִצְחָק וְיַעֲקב משֶׁה וְאַהֲרן דָּוִד וּשְׁלמה הוּא יְבָרֵךְ אֶת הַחולֶה פב"פ בַּעֲבוּר שפב"פ נודֵר צְדָקָה בַּעֲבוּרו, בִּשכַר זֶה הַקָּדושׁ בָּרוּךְ הוּא יִמָלֵא רַחֲמִים עָלָיו לְהַחֲלִימו וּלְרַפְּאתו וּלְהַחֲזִיקו וּלְהַחֲיותו, וְיִשְׁלַח לו מְהֵרָה רְפוּאָה שְׁלֵמָה מִן הַשָּׁמַיִם לִרְמַ"ח אֵבָרָיו וּשְׁסָ"ה גִּידָיו בְּתוךְ שְׁאָר חולֵי יִשרָאֵל, רְפוּאַת הַנֶּפֶשׁ וּרְפוּאַת הַגּוּף בשבת: שַׁבָּת הִיא מִלִזְּעוק וּרְפוּאָה קְרובָה לָבוא. ביו"ט: יום טוב הוא מִלְזּעוק וּרְפוּאָה קְרובָה לָבוא, הַשְׁתָּא בַּעֲגָלָא וּבִזְמַן קָרִיב. וְנאמַר אָמֵן:
לנקבה: מִי שֶׁבֵּרַךְ אֲבותֵינוּ אַבְרָהָם יִצְחָק וְיַעֲקב משֶׁה וְאַהֲרן דָּוִד וּשְׁלמה הוּא יְבָרֵךְ אֶת הַחולָה פב"פ בַּעֲבוּר שפב"פ נודֵר צְדָקָה בַּעֲבוּרָהּ, בִּשכַר זֶה הַקָּדושׁ בָּרוּךְ הוּא יִמָלֵא רַחֲמִים עָלֶיהָ לְהַחֲלִימָהּ וּלְרַפְּאתָהּ וּלְהַחֲזִיקָהּ וּלְהַחֲיותָהּ, וְיִשְׁלַח לָהּ מְהֵרָה רְפוּאָה שְׁלֵמָה מִן הַשָּׁמַיִם לְכָל אֵבָרֶיהּ וּלְכָל גִּידֶיהָ בְּתוךְ שְׁאָר חולֵי יִשרָאֵל, רְפוּאַת הַנֶּפֶשׁ וּרְפוּאַת הַגּוּף בשבת: שַׁבָּת הִיא מִלִזְּעוק וּרְפוּאָה קְרובָה לָבוא. ביו"ט: יום טוב הוא מִלְזּעוק וּרְפוּאָה קְרובָה לָבוא, הַשְׁתָּא בַּעֲגָלָא וּבִזְמַן קָרִיב. וְנאמַר אָמֵן:</t>
        </is>
      </c>
      <c r="E14" s="10" t="inlineStr">
        <is>
          <t>Wording and name insertion vary by community.</t>
        </is>
      </c>
      <c r="F14" s="12" t="inlineStr">
        <is>
          <t>Siddur Ashkenaz, Shabbat, Shacharit, Torah Reading, Reading from Sefer, Mi Sheberach, For Sickness (includes man and woman) — Daat Siddur Ashkenaz
License: Public Domain</t>
        </is>
      </c>
      <c r="G14" s="9" t="inlineStr"/>
      <c r="H14" s="10" t="inlineStr">
        <is>
          <t>mi-sheberach</t>
        </is>
      </c>
    </row>
    <row r="15" ht="62" customHeight="1">
      <c r="A15" s="5">
        <f>IF(LEN(TRIM(G15))=0,"Approved","Comment to address")</f>
        <v/>
      </c>
      <c r="B15" s="6" t="inlineStr">
        <is>
          <t>HaMotzi</t>
        </is>
      </c>
      <c r="C15" s="6" t="inlineStr">
        <is>
          <t>Common</t>
        </is>
      </c>
      <c r="D15" s="7" t="inlineStr">
        <is>
          <t>בָּרוּךְ אַתָּה יְ‑יָ אֱ‑לֹהֵינוּ מֶלֶךְ הָעוֹלָם הַמּוֹצִיא לֶחֶם מִן הָאָרֶץ:</t>
        </is>
      </c>
      <c r="E15" s="6" t="inlineStr">
        <is>
          <t>No special note.</t>
        </is>
      </c>
      <c r="F15" s="8" t="inlineStr">
        <is>
          <t>Siddur Ashkenaz, Berachot, Birkat Hanehenin, Eating, Barachot Rishonot — Daat Siddur Ashkenaz
License: Public Domain</t>
        </is>
      </c>
      <c r="G15" s="9" t="inlineStr"/>
      <c r="H15" s="6" t="inlineStr">
        <is>
          <t>hamotzi</t>
        </is>
      </c>
    </row>
    <row r="16" ht="409" customHeight="1">
      <c r="A16" s="5">
        <f>IF(LEN(TRIM(G16))=0,"Approved","Comment to address")</f>
        <v/>
      </c>
      <c r="B16" s="10" t="inlineStr">
        <is>
          <t>Birkat Hamazon</t>
        </is>
      </c>
      <c r="C16" s="10" t="inlineStr">
        <is>
          <t>Ashkenaz</t>
        </is>
      </c>
      <c r="D16" s="11" t="inlineStr">
        <is>
          <t>בחול קודם ברכת המזון אומרים:
עַל־נַהֲרוֹת בָּבֶל שָׁם יָשַֽׁבְנוּ גַּם־בָּכִֽינוּ בְּזָכְרֵֽנוּ אֶת־צִיּוֹן: עַל־עֲרָבִים בְּתוֹכָהּ תָּלִֽינוּ כִּנֹּרוֹתֵֽינוּ: כִּי שָׁם שְׁאֵלֽוּנוּ שׁוֹבֵֽינוּ דִּבְרֵי־שִׁיר וְתוֹלָלֵֽינוּ שִׂמְחָה שִֽׁירוּ לָֽנוּ מִשִּׁיר צִיּוֹן: אֵיךְ נָשִׁיר אֶת־שִׁיר־יְהֹוָה עַל אַדְמַת נֵכָר: אִם־אֶשְׁכָּחֵךְ יְרוּשָׁלָֽםִ תִּשְׁכַּח יְמִינִי: תִּדְבַּק לְשׁוֹנִי לְחִכִּי אִם־לֺא אֶזְכְּרֵֽכִי אִם־לֺא אַעֲלֶה אֶת־יְרוּשָׁלַֽםִ עַל רֹאשׁ שִׂמְחָתִי: זְכֹר יְהֹוָה לִבְנֵי אֱדוֹם אֵת יוֹם יְרוּשָׁלָֽםִ הָאֹמְ֒רִים עָֽרוּ עָֽרוּ עַד הַיְסוֹד בָּהּ: בַּת־בָּבֶל הַשְּׁ֒דוּדָה אַשְׁרֵי שֶׁיְּ֒שַׁלֶּם־לָךְ אֶת־גְּמוּלֵךְ שֶׁגָּמַלְתְּ לָֽנוּ: אַשְׁרֵי שֶׁיֹּאחֵז וְנִפֵּץ אֶת־עֹלָלַֽיִךְ אֶל־הַסָּֽלַע:
בשבת קודם ברכת המזון אומרים:
שִׁיר הַמַּעֲלוֹת בְּשׁוּב יְהֹוָה אֶת־שִׁיבַת צִיּוֹן הָיִֽינוּ כְּחֹלְ֒מִים: אָז יִמָּלֵא שְׂחוֹק פִּֽינוּ וּלְשׁוֹנֵֽנוּ רִנָּה, אָז יֹאמְ֒רוּ בַגּוֹיִם הִגְדִּיל יְהֹוָה לַעֲשׂוֹת עִם־אֵֽלֶּה: הִגְדִּיל יְהֹוָה לַעֲשׂוֹת עִמָּֽנוּ, הָיִֽינוּ שְׂמֵחִים: שׁוּבָה יְהֹוָה אֶת־שְׁבִיתֵֽנוּ כַּאֲפִיקִים בַּנֶּֽגֶב: הַזֹּרְ֒עִים בְּדִמְעָה, בְּרִנָּה יִקְצֹֽרוּ: הָלוֹךְ יֵלֵךְ וּבָכֹה, נֹשֵׂא מֶֽשֶׁךְ־הַזָּֽרַע, בֹּא־יָבֹא בְרִנָּה, נֹשֵׂא אֲלֻמֹּתָיו:
שלושה שאכלו כאחד חייבין בזימון, וכך מזמנין:
המזמן אומר:
רַבּוֹתַי נְבָרֵךְ:
המסובים עונים:
יְהִי שֵׁם יְהֹוָה מְבֹרָךְ מֵעַתָּה וְעַד־עוֹלָם:
וחוזר המזמן:
יְהִי שֵׁם יְהֹוָה מְבֹרָךְ מֵעַתָּה וְעַד־עוֹלָם:
וממשיך:
בִּרְשׁוּת מָרָנָן וְרַבָּנָן וְרַבּוֹתַי נְבָרֵךְ (בעשרה אֱלֺהֵֽינוּ) שֶׁאָכַֽלְנוּ מִשֶּׁלּוֹ:
המסובים עונים:
בָּרוּךְ (בעשרה אֱלֺהֵֽינוּ) שֶֽׁאָכַֽלְנוּ מִשֶּׁלּוֹ וּבְטוּבוֹ חָיִֽינוּ:
מי שלא אכל עונה:
בָּרוּךְ (בעשרה או יותר אֱלֹהֵינוּ) וּמְבוֹרָךְ שְׁמוֹ תָּמִיד לְעוֹלָם וָעֶד:
וחוזר המזמן:
בָּרוּךְ (בעשרה אֱלֺהֵֽינוּ) שֶֽׁאָכַֽלְנוּ מִשֶּׁלּוֹ וּבְטוּבוֹ חָיִֽינוּ:
ויש המוסיפים: בָּרוּךְ הוּא וּבָרוּךְ שְׁמוֹ:
ברכה זו משה רבינו ע"ה תקנה כשירד המן לישראל
בָּרוּךְ אַתָּה יְהֹוָה אֱלֺהֵֽינוּ מֶֽלֶךְ הָעוֹלָם הַזָּן אֶת־הָעוֹלָם כֻּלּוֹ בְּטוּבוֹ בְּחֵן בְּחֶֽסֶד וּבְרַחֲמִים הוּא נוֹתֵן לֶֽחֶם לְכָל־בָּשָׂר כִּי לְעוֹלָם חַסְדּוֹ וּבְטוּבוֹ הַגָּדוֹל תָּמִיד לֺא־חָסַר לָֽנוּ וְאַל־יֶחְסַר לָֽנוּ מָזוֹן לְעוֹלָם וָעֶד בַּעֲבוּר שְׁמוֹ הַגָּדוֹל כִּי הוּא אֵל זָן וּמְפַרְנֵס לַכֹּל וּמֵטִיב לַכֹּל וּמֵכִין מָזוֹן לְכָל־בְּרִיּוֹתָיו אֲשֶׁר בָּרָא: בָּרוּךְ אַתָּה יְהֹוָה הַזָּן אֶת־הַכֹּל:
ברכה זו יהושע תקנה כשנכנסו ישראל לארץ
נוֹדֶה לְּךָ יְהֹוָה אֱלֺהֵֽינוּ עַל שֶׁהִנְחַֽלְתָּ לַאֲבוֹתֵֽינוּ אֶֽרֶץ חֶמְדָּה טוֹבָה וּרְחָבָה וְעַל שֶׁהוֹצֵאתָֽנוּ יְהֹוָה אֱלֺהֵֽינוּ מֵאֶֽרֶץ מִצְרַֽיִם וּפְדִיתָֽנוּ מִבֵּית עֲבָדִים וְעַל בְּרִיתְ֒ךָ שֶׁחָתַֽמְתָּ בִּבְשָׂרֵֽנוּ וְעַל תּוֹרָתְ֒ךָ שֶׁלִּמַּדְתָּֽנוּ וְעַל חֻקֶּֽיךָ שֶׁהוֹדַעְתָּֽנוּ וְעַל חַיִּים חֵן וָחֶֽסֶד שֶׁחוֹנַנְתָּֽנוּ וְעַל אֲכִילַת מָזוֹן שָׁאַתָּה זָן וּמְפַרְנֵס אוֹתָֽנוּ תָּמִיד בְּכָל־יוֹם וּבְכָל־עֵת וּבְכָל שָׁעָה:
בחנוכה ופורים אומרים כאן על הניסים. ואם לא אמרו אין מחזירין אותו. ומכל מקום יוכל לאמרו בתוך שאר הרחמן. ויאמר הָרַחֲמָן הוּא יַעֲשֶׂה־לָּנוּ נִסִים וְנִפְלָאוֹת כְּמוֹ שֶׁעָשָׂה לַאֲבוֹתֵינוּ בַּיָּמִים הָהֵם בַּזְּמַן הַזֶּה וכו' בִּימֵי מַתִּתְיָהוּ וכו' או בִּימֵי מָרְדְּכַי וכו'.
וְעַל הַנִּסִּים וְעַל הַפֻּרְקָן וְעַל הַגְּ֒בוּרוֹת וְעַל הַתְּ֒שׁוּעוֹת וְעַל הַמִּלְחָמוֹת שֶׁעָשִֽׂיתָ לַאֲבוֹתֵֽינוּ בַּיָּמִים הָהֵם בִּזְּ֒מַן הַזֶּה:
בחנוכה אומרים:
בִּימֵי מַתִּתְיָֽהוּ בֶּן־יוֹחָנָן כֹּהֵן גָּדוֹל חַשְׁמוֹנַאי וּבָנָיו כְּשֶׁעָמְ֒דָה מַלְכוּת יָוָן הָרְ֒שָׁעָה עַל־עַמְּ֒ךָ יִשְׂרָאֵל לְהַשְׁכִּיחָם תּוֹרָתֶֽךָ וּלְהַעֲבִירָם מֵחֻקֵּי רְצוֹנֶֽךָ: וְאַתָּה בְּרַחֲמֶֽיךָ הָרַבִּים עָמַֽדְתָּ לָהֶם בְּעֵת צָרָתָם רַֽבְתָּ אֶת־רִיבָם דַּֽנְתָּ אֶת־דִּינָם נָקַֽמְתָּ אֶת־נִקְמָתָם מָסַֽרְתָּ גִבּוֹרִים בְּיַד חַלָּשִׁים וְרַבִּים בְּיַד מְעַטִּים וּטְמֵאִים בְּיַד טְהוֹרִים וּרְשָׁעִים בְּיַד צַדִּיקִים וְזֵדִים בְּיַד עוֹסְ֒קֵי תוֹרָתֶֽךָ וּלְךָ עָשִֽׂיתָ שֵׁם גָּדוֹל וְקָדוֹשׁ בְּעוֹלָמֶֽךָ וּלְעַמְּ֒ךָ יִשְׂרָאֵל עָשִֽׂיתָ תְּשׁוּעָה גְדוֹלָה וּפֻרְקָן כְּהַיּוֹם הַזֶּה וְאַחַר כַּךְ בָּֽאוּ בָנֶֽיךָ לִדְבִיר בֵּיתֶֽךָ וּפִנּוּ אֶת הֵיכָלֶֽךָ וְטִהֲרוּ אֶת מִקְדָּשֶֽׁךָ וְהִדְלִֽיקוּ נֵרוֹת בְּחַצְרוֹת קָדְשֶֽׁךָ וְקָבְ֒עוּ שְׁמוֹנַת יְמֵי חֲנֻכָּה אֵֽלּוּ לְהוֹדוֹת וּלְהַלֵּל לְשִׁמְךָ הַגָּדוֹל:
בפורים אומרים:
בִּימֵי מָרְדְּכַי וְאֶסְתֵּר בְּשׁוּשַׁן הַבִּירָה כְּשֶׁעָמַד עֲלֵיהֶם הָמָן הָרָשָׁע בִּקֵּשׁ לְהַשְׁמִיד לַהֲרוֹג וּלְאַבֵּד אֶת־כָּל־הַיְּהוּדִים מִנַּֽעַר וְעַד־זָקֵן טַף וְנָשִׁים בְּיוֹם אֶחָד בִּשְׁלוֹשָׁה עָשָׂר לְחֹֽדֶשׁ שְׁנֵים־עָשָׂר הוּא חֹֽדֶשׁ אֲדָר וּשְׁלָלָם לָבוֹז: וְאַתָּה בְּרַחֲמֶֽיךָ הָרַבִּים הֵפַֽרְתָּ אֶת־עֲצָתוֹ וְקִלְקַֽלְתָּ אֶת מַחֲשַׁבְתּוֹ וַהֲשֵׁבֽוֹתָ לּוֹ גְּמוּלוֹ בְּרֹאשׁוֹ וְתָלוּ אוֹתוֹ וְאֶת־בָּנָיו עַל־הָעֵץ:
וְעַל הַכֹּל יְהֹוָה אֱלֺהֵֽינוּ אֲנַֽחְנוּ מוֹדִים לָךְ וּמְבָרְ֒כִים אוֹתָךְ יִתְבָּרַךְ שִׁמְךָ בְּפִי כָּל־חַי תָּמִיד לְעוֹלָם וָעֶד כַּכָּתוּב וְאָכַלְתָּ וְשָׂבָֽעְתָּ וּבֵרַכְתָּ אֶת־יְהֹוָה אֱלֺהֶֽיךָ עַל־הָאָֽרֶץ הַטּוֹבָה אֲשֶׁר נָתַן־לָךְ בָּרוּךְ אַתָּה יְהֹוָה עַל־הָאָֽרֶץ וְעַל־הַמָּזוֹן:
בונה ירושלים דוד ושלמה תקנוה. דוד תקן על ישראל עמך ועל ירושלים עירך. ושלמה תיקן ועל הבית הגדול וכו'.
רַחֵם יְהֹוָה אֱלֺהֵֽינוּ עַל־יִשְׂרָאֵל עַמֶּֽךָ וְעַל יְרוּשָׁלַֽיִם עִירֶֽךָ וְעַל צִיּוֹן מִשְׁכַּן כְּבוֹדֶֽךָ וְעַל מַלְכוּת בֵּית דָּוִד מְשִׁיחֶֽךָ וְעַל־הַבַּֽיִת הַגָּדוֹל וְהַקָּדוֹשׁ שֶׁנִּקְרָא שִׁמְךָ עָלָיו אֱלֺהֵֽינוּ אָבִֽינוּ רְעֵֽנוּ זוּנֵֽנוּ פַּרְנְ֒סֵֽנוּ וְכַלְכְּ֒לֵֽנוּ וְהַרְוִיחֵֽנוּ וְהַרְוַח־לָֽנוּ יְהֹוָה אֱלֺהֵֽינוּ מְהֵרָה מִכָּל־צָרוֹתֵֽינוּ וְנָא אַל־תַּצְרִיכֵֽנוּ יְהֹוָה אֱלֺהֵֽינוּ לֺא לִידֵי מַתְּ֒נַת בָּשָׂר וָדָם וְלֺא לִידֵי הַלְוָאָתָם כִּי אִם לְיָדְ֒ךָ הַמְּלֵאָה הַפְּ֒תוּחָה הַקְּ֒דוֹשָׁה וְהָרְ֒חָבָה שֶׁלֺּא נֵבוֹשׁ וְלֺא נִכָּלֵם לְעוֹלָם וָעֶד:
בשבת מוסיפים:
רְצֵה וְהַחֲלִיצֵֽנוּ יְהֹוָה אֱלֺהֵֽינוּ בְּמִצְוֹתֶֽיךָ וּבְמִצְוַת יוֹם הַשְּׁ֒בִיעִי הַשַּׁבָּת הַגָּדוֹל וְהַקָּדוֹשׁ הַזֶּה כִּי יוֹם זֶה גָדוֹל וְקָדוֹשׁ הוּא לְפָנֶֽיךָ לִשְׁבָּת בּוֹ וְלָנֽוּחַ בּוֹ בְּאַהֲבָה כְּמִצְוַת רְצוֹנֶֽךָ וּבִרְצוֹנְ֒ךָ הָנִֽיחַ לָֽנוּ יְהֹוָה אֱלֺהֵֽינוּ שֶׁלֺּא תְהֵא צָרָה וְיָגוֹן וַאֲנָחָה בְּיוֹם מְנוּחָתֵֽנוּ וְהַרְאֵֽנוּ יְהֹוָה אֱלֺהֵֽינוּ בְּנֶחָמַת צִיּוֹן עִירֶֽךָ וּבְבִנְיַן יְרוּשָׁלַֽיִם עִיר קָדְשֶֽׁךָ כִּי אַתָּה הוּא בַּעַל הַיְשׁוּעוֹת וּבַעַל הַנֶּחָמוֹת:
בראש חודש ובחול המועד אומרים כאן "יעלה ויבא":
אֱלֹהֵֽינוּ וֵאלֹהֵי אֲבוֹתֵֽינוּ יַעֲלֶה וְיָבֹא וְיַגִּֽיעַ וְיֵרָאֶה וְיֵרָצֶה וְיִשָּׁמַע וְיִפָּקֵד וְיִזָּכֵר זִכְרוֹנֵֽנוּ וּפִקְדוֹנֵֽנוּ וְזִכְרוֹן אֲבוֹתֵֽינוּ וְזִכְרוֹן מָשִֽׁיחַ בֶּן־דָּוִד עַבְדֶּֽךָ וְזִכְרוֹן יְרוּשָׁלַֽיִם עִיר קָדְשֶֽׁךָ וְזִכְרוֹן כָּל־עַמְּ֒ךָ בֵּית יִשְׂרָאֵל לְפָנֶֽיךָ, לִפְלֵיטָה לְטוֹבָה לְחֵן וּלְחֶֽסֶד וּלְרַחֲמִים לְחַיִּים וּלְשָׁלוֹם בְּיוֹם
לְר"ח: רֹאשׁ הַחֹֽדֶשׁ הַזֶּה
לְפֶסַח: חַג הַמַּצּוֹת הַזֶּה
בשבועות: חַג הַשָּׁבֻעוֹת
לְסֻכּוֹת: חַג הַסֻּכּוֹת הַזֶּה
לש"ע וש"ת: שְׁמִינִי עֲצֶֽרֶת הַחַג הַזֶּה
לר"ה: הַזִּכָּרוֹן הַזֶּה
ילדים האוכלים ביו"כ: הַכִּפּוּרִים
זָכְרֵֽנוּ יְהֹוָה אֱלֹהֵֽינוּ בּוֹ לְטוֹבָה, וּפָקְדֵֽנוּ בוֹ לִבְרָכָה, וְהוֹשִׁיעֵֽנוּ בוֹ לְחַיִּים, וּבִדְבַר יְשׁוּעָה וְרַחֲמִים חוּס וְחָנֵּֽנוּ, וְרַחֵם עָלֵֽינוּ וְהוֹשִׁיעֵֽנוּ, כִּי אֵלֶֽיךָ עֵינֵֽינוּ, כִּי אֵל מֶֽלֶךְ חַנּוּן וְרַחוּם אָֽתָּה:
שכח לומר רצה בשבת או יעלה ויבא בראש חודש ויום טוב וחול המועד ונזכר קודם שאמר השם מברכת בונה ירושלים אומרו שם אבל אם אמר השם אם נזכר קודם שהתחיל הטוב והמטיב ראה להלן דיני שכחה:
וּבְנֵה יְרוּשָׁלַֽיִם עִיר הַקֹּֽדֶשׁ בִּמְהֵרָה בְיָמֵֽינוּ: בָּרוּךְ אַתָּה יְהֹוָה בּוֹנֵה בְרַחֲמָיו יְרוּשָׁלָֽיִם, אָמֵן:
הטוב והמטיב ביבנה תקנוה ביום שנתנו הרוגי ביתר לקבורה. הטוב שלא הסריחו. והמטיב שנתנו לקבורה.
בָּרוּךְ אַתָּה יְהֹוָה אֱלֺהֵֽינוּ מֶֽלֶךְ הָעוֹלָם, הָאֵל אָבִֽינוּ, מַלְכֵּֽנוּ, אַדִּירֵֽנוּ בּוֹרְ֒אֵֽנוּ, גּוֹאֲלֵֽנוּ, יוֹצְ֒רֵֽנוּ, קְדוֹשֵֽׁנוּ קְדוֹשׁ יַעֲקֹב, רוֹעֵנוּ רוֹעֵה יִשְׂרָאֵל, הַמֶּֽלֶךְ הַטּוֹב, וְהַמֵּטִיב לַכֹּל, שֶׁבְּ֒כָל יוֹם וָיוֹם הוּא הֵטִיב, הוּא מֵטִיב, הוּא יֵיטִיב לָנוּ, הוּא גְמָלָֽנוּ, הוּא גוֹמְ֒לֵֽנוּ, הוּא יִגְמְ֒לֵֽנוּ לָעַד לְחֵן וּלְחֶֽסֶד וּלְרַחֲמִים וּלְרֶוַח הַצָּלָה וְהַצְלָחָה בְּרָכָה וִישׁוּעָה, נֶחָמָה, פַּרְנָסָה וְכַלְכָּלָה, וְרַחֲמִים, וְחַיִּים וְשָׁלוֹם, וְכָל־טוֹב, וּמִכָּל־טוּב לְעוֹלָם אַל יְחַסְּ֒רֵֽנוּ:
הָרַחֲמָן הוּא יִמְלוֹךְ עָלֵֽינוּ לְעוֹלָם וָעֶד:
הָרַחֲמָן הוּא יִתְבָּרַךְ בַּשָּׁמַֽיִם וּבָאָֽרֶץ:
הָרַחֲמָן הוּא יִשְׁתַּבַּח לְדוֹר דּוֹרִים, וְיִתְפָּאַר בָּֽנוּ לָעַד וּלְנֵֽצַח נְצָחִים, וְיִתְהַדַּר בָּֽנוּ לָעַד וּלְעוֹלְ֒מֵי עוֹלָמִים:
הָרַחֲמָן הוּא יְפַרְנְ֒סֵֽנוּ בְּכָבוֹד:
הָרַחֲמָן הוּא יִשְׁבּוֹר עֻלֵּֽנוּ מֵעַל צַוָּארֵֽנוּ וְהוּא יוֹלִיכֵֽנוּ קוֹמְ֒מִיּוּת לְאַרְצֵֽנוּ:
הָרַחֲמָן הוּא יִשְׁלַח לָֽנוּ בְּרָכָה מְרֻבָּה בַּבַּֽיִת הַזֶּה וְעַל־שֻׁלְחָן זֶה שֶׁאָכַֽלְנוּ עָלָיו:
הָרַחֲמָן הוּא יִשְׁלַח לָֽנוּ אֶת־אֵלִיָּֽהוּ הַנָּבִיא זָכוּר לַטּוֹב, וִיבַשֶּׂר־לָֽנוּ בְּשׂוֹרוֹת טוֹבוֹת יְשׁוּעוֹת וְנֶחָמוֹת:
אם סמוך על שלחן אביו יאמר:
הָרַחֲמָן הוּא יְבָרֵךְ אֶת־(אָבִי מוֹרִי) בַּֽעַל הַבַּֽיִת הַזֶּה, וְאֶת־(אִמִּי מוֹרָתִי) בַּעֲלַת הַבַּֽיִת הַזֶּה, אוֹתָם וְאֶת־בֵּיתָם וְאֶת־זַרְעָם וְאֶת־כָּל־אֲשֶׁר לָהֶם
(ואם סמוך על שלחן עצמו יאמר:)
הָרַחֲמָן הוּא יְבָרֵךְ אוֹתִי (וְאֶת־אִשְׁתִּי/בַּעֲלִי וְאֶת־זַרְעִי) וְאֶת־כָּל־אֲשֶׁר לִי.
אוֹתָֽנוּ וְאֶת־כָּל־אֲשֶׁר לָֽנוּ, כְּמוֹ שֶׁנִּתְבָּרְ֒כוּ אֲבוֹתֵֽינוּ, אַבְרָהָם יִצְחָק וְיַעֲקֹב: בַּכֹּל, מִכֹּל, כֹּל, כֵּן יְבָרֵךְ אוֹתָֽנוּ כֻּלָּֽנוּ יַֽחַד, בִּבְרָכָה שְׁלֵמָה, וְנֹאמַר אָמֵן:
אם אוכל על שלחן אחרים יברך לבעה"ב. ואפילו בנים הסמוכים על שלחן אביהם, וגם האב הנסמך על שלחן בניו וגם אשתו תאמר כן:
יְהִי רָצוֹן שֶׁלֹּא יֵבוֹשׁ וְלֹא יִכָּלֵם בַּעַל הַבַּֽיִת הַזֶּה לֹא בָעוֹלָם הַזֶּה וְלֹא בָעוֹלָם הַבָּא וְיַצְלִֽיחַ בְּכָל־נְכָסָיו וְיִהְיוּ נְכָסָיו מוּצְלָחִים וּקְרוֹבִים לָעִיר וְאַל־יִשְׁלוֹט שָׂטָן בְּמַעֲשֵׂה יָדָיו וְאַל יִזְדָקֵּק לְפָנָיו שׁוּם דְּבַר חֵטְא וְהַרְהוֹר עָוֹן מַעַתָּה וְעַד עוֹלָם:
בַּמָּרוֹם יְלַמְּ֒דוּ עֲלֵיהֶם וְעָלֵֽינוּ זְכוּת שֶׁתְּ֒הֵא לְמִשְׁמֶֽרֶת שָׁלוֹם, וְנִשָּׂא בְרָכָה מֵאֵת יְהֹוָה וּצְדָקָה מֵאֱלֺהֵי יִשְׁעֵֽנוּ, וְנִמְצָא חֵן וְשֵֽׂכֶל טוֹב בְּעֵינֵי אֱלֺהִים וְאָדָם:
בשבת אומר:
הָרַחֲמָן הוּא יַנְחִילֵֽנוּ יוֹם שֶׁכֻּלּוֹ שַׁבָּת וּמְנוּחָה לְחַיֵּי הָעוֹלָמִים:
בראש חודש:
הָרַחֲמָן הוּא יְחַדֵּשׁ עָלֵֽינוּ אֶת הַחֹֽדֶשׁ הַזֶּה לְטוֹבָה וְלִבְרָכָה:
ביו"ט אומר:
הָרַחֲמָן הוּא יַנְחִילֵֽנוּ יוֹם שֶׁכֻּלּוֹ טוֹב:
בראש השנה:
הָרַחֲמָן הוּא יְחַדֵּשׁ עָלֵֽינוּ אֶת הַשָּׁנָה הַזֹּאת לְטוֹבָה וְלִבְרָכָה:
בסוכות:
הָרַחֲמָן הוּא יָקִים לָֽנוּ אֶת־סֻכַּת דָּוִד הַנּוֹפָֽלֶת:
הָרַחֲמָן הוּא יְזַכֵּֽנוּ לִימוֹת הַמָּשִֽׁיחַ וּלְחַיֵּי הָעוֹלָם הַבָּא, מַגְדִּיל יְשׁוּעוֹת מַלְכּוֹ (בשבת וביו"ט אומר: מִגְדּוֹל יְשׁוּעוֹת מַלְכּוֹ), וְעֹֽשֶׂה חֶֽסֶד לִמְשִׁיחוֹ לְדָוִד וּלְזַרְעוֹ עַד עוֹלָם: עֹשֶׂה שָׁלוֹם בִּמְרוֹמָיו, הוּא יַעֲשֶׂה שָׁלוֹם עָלֵֽינוּ וְעַל כָּל־יִשְׂרָאֵל, וְאִמְרוּ אָמֵן:
יְראוּ אֶת־יְהֹוָה קְדוֹשָׁיו, כִּי אֵין מַחְסוֹר לִירֵאָיו: כְּפִירִים רָשׁוּ וְרָעֵֽבוּ, וְדוֹרְ֒שֵׁי יְהֹוָה לֺא־יַחְסְ֒רוּ כָל־טוֹב: הוֹדוּ לַיהוָֹה כִּי־טוֹב, כִּי לְעוֹלָם חַסְדּוֹ: פּוֹתֵֽחַ אֶת־יָדֶֽךָ, וּמַשְׂבִּֽיעַ לְכָל־חַי רָצוֹן: בָּרוּךְ הַגֶּֽבֶר אֲשֶׁר יִבְטַח בַּיהוָֹה, וְהָיָה יְהֹוָה מִבְטַחוֹ: נַֽעַר הָיִֽיתִי גַם־זָקַֽנְתִּי וְלֺא־רָאִֽיתִי צַדִּיק נֶעֱזָב, וְזַרְעוֹ מְבַקֶּשׁ־לָֽחֶם: יְהֹוָה עוֹז לְעַמּוֹ יִתֵּן, יְהֹוָה יְבָרֵךְ אֶת־עַמּוֹ בַּשָּׁלוֹם:
דיני שכחה:
בשבת אומר:
בָּרוּךְ אַתָּה יְהֹוָה אֱלֺהֵֽינוּ מֶֽלֶךְ הָעוֹלָם אֲשֶׁר נָתַן שַׁבָּתוֹת לִמְנוּחָה לְעַמּוֹ יִשְׂרָאֵל בְּאַהֲבָה לְאוֹת וְלִבְרִית: בָּרוּךְ אַתָּה יְהֹוָה מְקַדֵּשׁ הַשַּׁבָּת:
בראש חודש:
בָּרוּךְ אַתָּה יְהֹוָה אֱלֺהֵֽינוּ מֶֽלֶךְ הָעוֹלָם אֲשֶׁר נָתַן רָאשֵׁי חֳדָשִׁים לְעַמּוֹ יִשְׂרָאֵל לְזִכָּרוֹן:
ביו"ט אומר:
בָּרוּךְ אַתָּה יְהֹוָה אֱלֺהֵֽינוּ מֶֽלֶךְ הָעוֹלָם אֲשֶׁר נָתַן יָמִים טוֹבִים לְעַמּוֹ יִשְׂרָאֵל לְשָׂשׂוֹן וּלְשִׂמְחָה אֶת יוֹם חַג (פלוני) הַזֶּה: בָּרוּךְ אַתָּה יְהֹוָה מְקַדֵּשׁ יִשְׂרָאֵל וְהַזְּ֒מַנִּים:
ביו"ט שחל בשבת:
בָּרוּךְ אַתָּה יְהֹוָה אֱלֺהֵֽינוּ מֶֽלֶךְ הָעוֹלָם אֲשֶׁר נָתַן שַׁבָּתוֹת לִמְנוּחָה לְעַמּוֹ יִשְׂרָאֵל בְּאַהֲבָה לְאוֹת וְלִבְרִית וְיָמִים טוֹבִים לְשָׂשׂוֹן וּלְשִׂמְחָה אֶת יוֹם חַג (פלוני) הַזֶּה: בָּרוּךְ אַתָּה יְהֹוָה מְקַדֵּשׁ הַשַּׁבָּת וְיִשְׂרָאֵל וְהַזְּ֒מַנִּים:
בראש השנה:
בָּרוּךְ אַתָּה יְהֹוָה אֱלֺהֵֽינוּ מֶֽלֶךְ הָעוֹלָם אֲשֶׁר נָתַן יָמִים טוֹבִים לְעַמּוֹ יִשְׂרָאֵל לְזִכָּרוֹן:
בראש השנה שחל בשבת:
בָּרוּךְ אַתָּה יְהֹוָה אֱלֺהֵֽינוּ מֶֽלֶךְ הָעוֹלָם אֲשֶׁר נָתַן שַׁבָּתוֹת לִמְנוּחָה לְעַמּוֹ יִשְׂרָאֵל בְּאַהֲבָה לְאוֹת וְלִבְרִית וְיָמִים טוֹבִים לְיִשְׂרָאֵל לְזִכָּרוֹן: בָּרוּךְ אַתָּה יְהֹוָה מְקַדֵּשׁ הַשַּׁבָּת וְיִשְׂרָאֵל וְיוֹם הַזִכָּרוֹן:</t>
        </is>
      </c>
      <c r="E16" s="10" t="inlineStr">
        <is>
          <t>Only the first blessing's closing formula is bundled.</t>
        </is>
      </c>
      <c r="F16" s="12" t="inlineStr">
        <is>
          <t>Siddur Ashkenaz, Berachot, Birkat HaMazon — The Metsudah siddur, 1981
License: CC-BY</t>
        </is>
      </c>
      <c r="G16" s="9" t="inlineStr"/>
      <c r="H16" s="10" t="inlineStr">
        <is>
          <t>birkat-hamazon</t>
        </is>
      </c>
    </row>
    <row r="17" ht="70" customHeight="1">
      <c r="A17" s="5">
        <f>IF(LEN(TRIM(G17))=0,"Approved","Comment to address")</f>
        <v/>
      </c>
      <c r="B17" s="6" t="inlineStr">
        <is>
          <t>Borei Nefashot</t>
        </is>
      </c>
      <c r="C17" s="6" t="inlineStr">
        <is>
          <t>Ashkenaz</t>
        </is>
      </c>
      <c r="D17" s="7" t="inlineStr">
        <is>
          <t>בָּרוּךְ אַתָּה יְ‑יָ אֱ‑לֹהֵינוּ מֶלֶךְ הָעוֹלָם בּוֹרֵא נְפָשׁוֹת רַבּוֹת וְחֶסְרוֹנָן עַל כָּל מַה שֶׁבָּרָאתָּ לְהַחֲיוֹת בָּהֶם נֶפֶשׁ כָּל חָי בָּרוּךְ חֵי הָעוֹלָמִים:</t>
        </is>
      </c>
      <c r="E17" s="6" t="inlineStr">
        <is>
          <t>Only the opening clause is bundled.</t>
        </is>
      </c>
      <c r="F17" s="8" t="inlineStr">
        <is>
          <t>Siddur Ashkenaz, Berachot, Birkat Hanehenin, Eating, Brachot Achronot, Borei Nefashot — Daat Siddur Ashkenaz
License: Public Domain</t>
        </is>
      </c>
      <c r="G17" s="9" t="inlineStr"/>
      <c r="H17" s="6" t="inlineStr">
        <is>
          <t>borei-nefashot</t>
        </is>
      </c>
    </row>
    <row r="18" ht="62" customHeight="1">
      <c r="A18" s="5">
        <f>IF(LEN(TRIM(G18))=0,"Approved","Comment to address")</f>
        <v/>
      </c>
      <c r="B18" s="10" t="inlineStr">
        <is>
          <t>Shehecheyanu</t>
        </is>
      </c>
      <c r="C18" s="10" t="inlineStr">
        <is>
          <t>Common</t>
        </is>
      </c>
      <c r="D18" s="11" t="inlineStr">
        <is>
          <t>בָּרוּךְ אַתָּה יְהֹוָה אֱלֹהֵינוּ מֶלֶךְ הָעוֹלָם שֶׁהֶחֱיָנוּ וְקִיְּמָנוּ וְהִגִּיעָנוּ לַזְמַן הַזֶּה:</t>
        </is>
      </c>
      <c r="E18" s="10" t="inlineStr">
        <is>
          <t>No special note.</t>
        </is>
      </c>
      <c r="F18" s="12" t="inlineStr">
        <is>
          <t>Siddur Sefard, Blessings, Shehecheyanu — Torat Emet 357
License: Public Domain</t>
        </is>
      </c>
      <c r="G18" s="9" t="inlineStr"/>
      <c r="H18" s="10" t="inlineStr">
        <is>
          <t>shehecheyanu</t>
        </is>
      </c>
    </row>
    <row r="19" ht="409" customHeight="1">
      <c r="A19" s="5">
        <f>IF(LEN(TRIM(G19))=0,"Approved","Comment to address")</f>
        <v/>
      </c>
      <c r="B19" s="6" t="inlineStr">
        <is>
          <t>Bedtime Shema</t>
        </is>
      </c>
      <c r="C19" s="6" t="inlineStr">
        <is>
          <t>Sefard</t>
        </is>
      </c>
      <c r="D19" s="7" t="inlineStr">
        <is>
          <t>רִבּוֹנוֹ שֶׁל־עוֹלָם הֲרֵינִי מוֹחֵל לְכָל־מִי שֶׁהִכְעִיס וְהִקְנִיט אוֹתִי אוֹ שֶׁחָטָא כְּנֶגְדִי בֵּין בְּגוּפִי בֵּין בְּמֶמוֹנִי בֵין בִּכְבוֹדִי בֵין בְכָל אֲשֶׁר לִי בֵין בְּאוֹנֶס בֵּין בְּרָצוֹן בֵּין בְּשׁוֹגֵג בֵּין בְּמֵזִיד בֵין בְּדִבּוּר בֵּין בְּמַעֲשֶׂה בֵּין בְּגִלְגוּל זֶה בֵּין בְּגִלְגּוּל אַחֵר לְכָל־בַּר יִשְׂרָאֵל וְלֹא יֵעָנֵשׁ שׁוּם אָדָם בְסִבָּתִי יְהִי רָצוֹן מִלְּפָנֶֽיךָ יְהֹוָה אֱלֹהַי וֵאלֹהֵי אֲבוֹתַי שֶׁלֹּא אֶחְטֶא עוֹד וְלֹא אֶחֱזוֹר בָּהֶם וְלֹא אָשׁוּב עוֹד לְהַכְעִיסֶךָ וְלֹא אֶעֱשֶׂה הָרַע בְּעֵינֶֽיךָ וּמַה־שֶׁחָטָֽאתִי מְחוֹק בְּרַחֲמֶֽיךָ הָרַבִּים וְלֹא עַל יְדֵי יִסּוּרִים וָחֳלֶיִם רָעִים: יִהְיוּ לְרָצוֹן אִמְרֵי־פִי וְהֶגְיוֹן לִבִּי לְפָנֶֽיךָ יְהֹוָה צוּרִי וְגֹאֲלִי:
בָּרוּךְ אַתָּה יְהֹוָה אֱלֺהֵֽינוּ מֶֽלֶךְ הָעוֹלָם הַמַּפִּיל חֶבְלֵי שֵׁנָה עַל עֵינָי וּתְנוּמָה עַל עַפְעַפָּי: וּמֵאִיר לְאִישׁוֹן בַּת עָיִן. וִיהִי רָצוֹן מִלְּ֒פָנֶֽיךָ יְהֹוָה אֱלֺהַי וֵאלֺהֵי אֲבוֹתַי שֶׁתַּשְׁכִּיבֵֽנִי לְשָׁלוֹם וְתַעֲמִידֵֽנִי לְחַיִים טוֹבִים וּלְשָׁלוֹם וְתֵן חֶלְקֵי בְּתוֹרָתֶךָ וְתַרְגִילֵנוּ לִדְבַר מִצְוָה וְאַל תַּרְגִילֵנוּ לִדְבַר עַבֵרָה וְאַל תְּבִיאֵֽנוּ לֹא לִידֵי חֵטְא וְלֹא לִידֵי נִסָּיוֹן וְלֹא לִידֵי בִזָּיוֹן וְיִשְׁלֹט בִּי יֵצֵר הַטוֹב וְאַל יִשְׁלֹט בִּי יֵֽצֶר הָרָע וְתַצִילֵנוּ מִשָׂטָן וּמִפֶגַע רָע וּמֵחָלָיִם רָעִים וְאַל יְבַהֲלֽוּנִי רַעְיוֹנַי וַחֲלוֹמוֹת רָעִים וְהַרְהוֹרִים רָעִים וּתְהֵא מִטָּתִי שְׁלֵמָה לְפָנֶֽיךָ: וְהָאֵר עֵינַי פֶּן אִישַׁן הַמָּֽוֶת. בָּרוּךְ אַתָּה יְהֹוָה הַמֵּאִיר לָעוֹלָם כֻּלּוֹ בִּכְבוֹדוֹ:
אֵל מֶֽלֶךְ נֶאֱמָן:
שְׁמַע יִשְׂרָאֵל יְהֹוָה אֱלֹהֵֽינוּ יְהֹוָה אֶחָד: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 אִירָא מֵרִבְבוֹת עָם אֲשֶׁר סָבִיב שָֽׁתוּ עָלָי: קוּמָה יְהֹוָה הוֹשִׁיעֵֽנִי אֱלֺהַי כִּי־הִכִּֽיתָ אֶת־כָּל אֹיְ֒בַי לֶֽחִי שִׁנֵּי רְשָׁעִים שִׁבַּֽרְתָּ: לַיהוָֹה הַיְ֒שׁוּעָה עַל־עַמְּ֒ךָ בִרְכָתֶֽךָ סֶֽלָה:
הַשְׁכִּיבֵֽנוּ יְהֹוָה אֱלֺהֵֽינוּ לְשָׁלוֹם וְהַעֲמִידֵֽנוּ מַלְכֵּֽנוּ לְחַיִּים טוֹבִים וּלשָׁלוֹם. וּפְרוֹשׂ עָלֵֽינוּ סֻכַּת שְׁלוֹמֶֽךָ וְתַקְּ֒נֵֽנוּ בְּעֵצָה טוֹבָה מִלְּ֒פָנֶֽיךָ וְהוֹשִׁיעֵֽנוּ מְהֵרָה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יְהֹוָה בַּיּוֹם בָּרוּךְ יְהֹוָה בַּלָּֽיְלָה בָּרוּךְ יְהֹוָה בְּשָׁכְבֵֽנוּ בָּרוּךְ יְהֹוָה בְּקוּמֵֽנוּ. כִּי בְיָדְ֒ךָ נַפְשׁוֹת הַחַיִּים וְהַמֵּתִים אֲשֶׁר בְּיָדוֹ נֶֽפֶשׁ כָּל חָי וְרֽוּחַ כָּל בְּשַׂר אִישׁ. בְּיָדְ֒ךָ אַפְקִיד רוּחִי פָּדִֽיתָה אוֹתִי יְהֹוָה אֵל אֱמֶת. אֱלֺהֵֽינוּ שֶׁבַּשָּׁמַֽיִם יַחֵד שִׁמְךָ וְקַיֵּם מַלְכוּתְ֒ךָ תָּמִיד וּמְלֺךְ עָלֵֽינוּ לְעוֹלָם וָעֶד:
יִרְאוּ עֵינֵֽינוּ וְיִשְׂמַח לִבֵּֽנוּ וְתָגֵל נַפְשֵֽׁנוּ בִּישׁוּעָתְ֒ךָ בֶּאֱמֶת בֶּאֱמוֹר לְצִיּוֹן מָלַךְ אֱלֺהָֽיִךְ. יְהֹוָה מֶֽלֶךְ יְהֹוָה מָלָךְ יְהֹוָה יִמְלֹךְ לְעוֹלָם וָעֶד: כִּי הַמַּלְכוּת שֶׁלְּ֒ךָ הִיא וּלְעֽוֹלְ֒מֵי עַד תִּמְלוֹךְ בְּכָבוֹד כִּי אֵין לָֽנוּ מֶֽלֶךְ אֶלָּא אָֽתָּה:
הַמַּלְאָךְ הַגֹּאֵל אֹתִי מִכָּל רָע יְבָרֵךְ אֶת הַנְּ֒עָרִים וְיִקָּרֵא בָהֶם שְׁמִי וְשֵׁם אֲבוֹתַי אַבְרָהָם וְיִצְחָק וְיִדְגּוּ לָרֹב בְּקֶֽרֶב הָאָֽרֶץ:
וַיֹּֽאמֶר אִם שָׁמֽוֹעַ תִּשְׁמַע לְקוֹל יְהֹוָה אֱלֺהֶֽיךָ וְהַיָּשָׁר בְּעֵינָיו תַּעֲשֶׂה וְהַאֲזַנְתָּ לְמִצְוֹתָיו וְשָׁמַרְתָּ כָּל חֻקָּיו כָּל הַמַּחֲלָה אֲשֶׁר שַֽׂמְתִּי בְמִצְרַֽיִם לֺא אָשִׂים עָלֶֽיךָ כִּי אֲנִי יְהֹוָה רֹפְ֒אֶֽךָ:
וַיֹּֽאמֶר יְהֹוָה אֶל הַשָּׂטָן יִגְעַר יְהֹוָה בְּךָ הַשָּׂטָן וְיִגְעַר יְהֹוָה בְּךָ הַבֹּחֵר בִּירוּשָׁלָֽםִ הֲלֺא זֶה אוּד מֻצָּל מֵאֵשׁ
הִנֵּה מִטָּתוֹ שֶׁלִּשְׁלֺמֹה שִׁשִּׁים גִּבֹּרִים סָבִיב לָהּ מִגִּבֹּרֵי יִשְׂרָאֵל כֻּלָּם אֲחֻֽזֵי חֶֽרֶב מְלֻמְּ֒דֵי מִלְחָמָה אִישׁ חַרְבּוֹ עַל יְרֵכוֹ מִפַּֽחַד בַּלֵּילוֹת
יְבָרֶכְךָ יְהֹוָה וְיִשְׁמְרֶֽךָ יָאֵר יְהֹוָה פָּנָיו אֵלֶֽיךָ וִיחֻנֶּֽךָּ: יִשָּׂא יְהֹוָה פָּנָיו אֵלֶֽיךָ וְיָשֵׂם לְךָ שָׁלוֹם:
הִנֵּה לֺא יָנוּם וְלֺא יִישָׁן שׁוֹמֵר יִשְׂרָאֵל:
לִישׁוּעָתְ֒ךָ קִוִּיתִי יְהֹוָה קִוִּיתִי יְהֹוָה לִישׁוּעָתְ֒ךָ יְהֹוָה לִישׁוּעָתְ֒ךָ קִוִּיתִי
בְּשֵׁם יְהֹוָה אֱלֺהֵי יִשְׂרָאֵל מִימִינִי מִיכָאֵל וּמִשְּׂ֒מֹאלִי גַבְרִיאֵל וּמִלְּ֒פָנַי אוֹרִיאֵל וּמֵאֲחוֹרַי רְפָאֵל וְעַל רֹאשִי שְׁכִינַת אֵל:
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 בָנִים לְבָנֶֽיךָ שָׁלוֹם עַל־יִשְׂרָאֵל:
רִגְזוּ וְאַל תֶּחֱטָֽאוּ אִמְרוּ בִלְבַבְכֶם עַל מִשְׁכַּבְכֶם וְדֹֽמּוּ סֶֽלָה: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E19" s="6" t="inlineStr">
        <is>
          <t>Only one concluding verse is bundled.</t>
        </is>
      </c>
      <c r="F19" s="8" t="inlineStr">
        <is>
          <t>Siddur Sefard, Bedtime Shema — The Metsudah siddur, 1981
License: CC-BY</t>
        </is>
      </c>
      <c r="G19" s="9" t="inlineStr"/>
      <c r="H19" s="6" t="inlineStr">
        <is>
          <t>bedtime-shema</t>
        </is>
      </c>
    </row>
    <row r="20" ht="376" customHeight="1">
      <c r="A20" s="5">
        <f>IF(LEN(TRIM(G20))=0,"Approved","Comment to address")</f>
        <v/>
      </c>
      <c r="B20" s="10" t="inlineStr">
        <is>
          <t>Mourner’s Kaddish</t>
        </is>
      </c>
      <c r="C20" s="10" t="inlineStr">
        <is>
          <t>Ashkenaz</t>
        </is>
      </c>
      <c r="D20" s="11" t="inlineStr">
        <is>
          <t>יִתְגַּדַּל וְיִתְקַדַּשׁ שְׁמֵהּ רַבָּא. [ אמן]
בְּעָלְמָא דִּי בְרָא כִרְעוּתֵהּ וְיַמְלִיךְ מַלְכוּתֵהּ בְּחַיֵּיכון וּבְיומֵיכון וּבְחַיֵּי דְכָל בֵּית יִשרָאֵל בַּעֲגָלָא וּבִזְמַן קָרִיב, וְאִמְרוּ אָמֵן: [ אמן]
יְהֵא שְׁמֵהּ רַבָּא מְבָרַךְ לְעָלַם וּלְעָלְמֵי עָלְמַיָּא:
יִתְבָּרַךְ וְיִשְׁתַּבַּח וְיִתְפָּאַר וְיִתְרומַם וְיִתְנַשּא וְיִתְהַדָּר וְיִתְעַלֶּה וְיִתְהַלָּל שְׁמֵהּ דְּקֻדְשָׁא. בְּרִיךְ הוּא. [ בריך הוא:]
לְעֵלָּא מִן כָּל בִּרְכָתָא וְשִׁירָתָא תֻּשְׁבְּחָתָא וְנֶחֱמָתָא דַּאֲמִירָן בְּעָלְמָא. וְאִמְרוּ אָמֵן: [ אמן]
יְהֵא שְׁלָמָא רַבָּא מִן שְׁמַיָּא וְחַיִּים עָלֵינוּ וְעַל כָּל יִשרָאֵל. וְאִמְרוּ אָמֵן: [ אמן]
עוֹשה שָׁלוֹם בִּמְרומָיו הוּא יַעֲשה שָׁלום עָלֵינוּ וְעַל כָּל יִשרָאֵל וְאִמְרוּ אָמֵן: [ אמן]</t>
        </is>
      </c>
      <c r="E20" s="10" t="inlineStr">
        <is>
          <t>Only the opening sentence is bundled.</t>
        </is>
      </c>
      <c r="F20" s="12" t="inlineStr">
        <is>
          <t>Siddur Ashkenaz, Kaddish, Mourner's Kaddish — Daat Siddur Ashkenaz
License: Public Domain</t>
        </is>
      </c>
      <c r="G20" s="9" t="inlineStr"/>
      <c r="H20" s="10" t="inlineStr">
        <is>
          <t>kaddish-yatom</t>
        </is>
      </c>
    </row>
    <row r="21" ht="409" customHeight="1">
      <c r="A21" s="5">
        <f>IF(LEN(TRIM(G21))=0,"Approved","Comment to address")</f>
        <v/>
      </c>
      <c r="B21" s="6" t="inlineStr">
        <is>
          <t>Aleinu</t>
        </is>
      </c>
      <c r="C21" s="6" t="inlineStr">
        <is>
          <t>Ashkenaz</t>
        </is>
      </c>
      <c r="D21" s="7"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E21" s="6" t="inlineStr">
        <is>
          <t>Only the opening phrase is bundled.</t>
        </is>
      </c>
      <c r="F21" s="8" t="inlineStr">
        <is>
          <t>Siddur Ashkenaz, Shabbat, Maariv, Aleinu — The Metsudah siddur, 1981
License: CC-BY</t>
        </is>
      </c>
      <c r="G21" s="9" t="inlineStr"/>
      <c r="H21" s="6" t="inlineStr">
        <is>
          <t>aleinu</t>
        </is>
      </c>
    </row>
    <row r="22" ht="358" customHeight="1">
      <c r="A22" s="5">
        <f>IF(LEN(TRIM(G22))=0,"Approved","Comment to address")</f>
        <v/>
      </c>
      <c r="B22" s="10" t="inlineStr">
        <is>
          <t>Adon Olam</t>
        </is>
      </c>
      <c r="C22" s="10" t="inlineStr">
        <is>
          <t>Ashkenaz</t>
        </is>
      </c>
      <c r="D22" s="11" t="inlineStr">
        <is>
          <t>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E22" s="10" t="inlineStr">
        <is>
          <t>Only the opening stanza is bundled.</t>
        </is>
      </c>
      <c r="F22" s="12" t="inlineStr">
        <is>
          <t>Siddur Ashkenaz, Shabbat, Maariv, Adon Olam — The Metsudah siddur, 1981
License: CC-BY</t>
        </is>
      </c>
      <c r="G22" s="9" t="inlineStr"/>
      <c r="H22" s="10" t="inlineStr">
        <is>
          <t>adon-olam</t>
        </is>
      </c>
    </row>
    <row r="23" ht="409" customHeight="1">
      <c r="A23" s="5">
        <f>IF(LEN(TRIM(G23))=0,"Approved","Comment to address")</f>
        <v/>
      </c>
      <c r="B23" s="6" t="inlineStr">
        <is>
          <t>Friday Night Kiddush</t>
        </is>
      </c>
      <c r="C23" s="6" t="inlineStr">
        <is>
          <t>Ashkenaz</t>
        </is>
      </c>
      <c r="D23" s="7" t="inlineStr">
        <is>
          <t>וַיְהִי עֶֽרֶב וַיְהִי בֹֽקֶר
יוֹם הַשִּׁשִּׁי: וַיְכֻלּוּ הַשָּׁמַֽיִם וְהָאָֽרֶץ וְכָל־צְבָאָם: וַיְכַל אֱלֹהִים בַּיּוֹם הַשְּׁבִיעִי מְלַאכְתּוֹ אֲשֶׁר עָשָׂה. וַיִּשְׁבֹּת בַּיּוֹם הַשְּׁבִיעִי מִכָּל־מְלַאכְתּוֹ אֲשֶׁר עָשָׂה: וַיְבָֽרֶךְ אֱלֹהִים אֶת־יוֹם הַשְּׁבִיעִי וַיְקַדֵּשׁ אֹתוֹ. כִּי בוֹ שָׁבַת מִכָּל מְלַאכְתּוֹ אֲשֶׁר־בָּרָא אֱלֹהִים לַעֲשׂוֹת:
סַבְרִי מָרָנָן וְרַבּוֹתַי:
בָּרוּךְ אַתָּה יְהֹוָה אֱלֹהֵֽינוּ מֶֽלֶךְ הָעוֹלָם בּוֹרֵא פְּרִי הַגָּֽפֶן:
בָּרוּךְ אַתָּה יְהוָה אֱלֹהֵֽינוּ מֶֽלֶךְ הָעוֹלָם, אֲשֶׁר קִדְּשָֽׁנוּ בְּמִצְוֹתָיו וְרָֽצָה בָֽנוּ, וְשַׁבַּת קָדְשׁוֹ בְּאַהֲבָה וּבְרָצוֹן הִנְחִילָֽנוּ, זִכָּרוֹן לְמַעֲשֵׂה בְרֵאשִׁית. (כִּי הוּא יוֹם) תְּחִלָּה לְמִקְרָאֵי קֹֽדֶשׁ, זֵֽכֶר לִיצִיאַת מִצְרָֽיִם. (כִּי בָֽנוּ בָחַֽרְתָּ וְאוֹתָֽנוּ קִדַּֽשְׁתָּ מִכָּל הָעַמִּים) וְשַׁבַּת קָדְשְׁךָ בְּאַהֲבָה וּבְרָצוֹן הִנְחַלְתָּֽנוּ. בָּרוּךְ אַתָּה יְהוָה, מְקַדֵּשׁ הַשַּׁבָּת:</t>
        </is>
      </c>
      <c r="E23" s="6" t="inlineStr">
        <is>
          <t>Only the concluding blessing is bundled.</t>
        </is>
      </c>
      <c r="F23" s="8" t="inlineStr">
        <is>
          <t>Siddur Ashkenaz, Shabbat, Shabbat Evening, Kiddush — The Metsudah siddur, 1981
License: CC-BY</t>
        </is>
      </c>
      <c r="G23" s="9" t="inlineStr"/>
      <c r="H23" s="6" t="inlineStr">
        <is>
          <t>kiddush-friday-night</t>
        </is>
      </c>
    </row>
    <row r="24" ht="409" customHeight="1">
      <c r="A24" s="5">
        <f>IF(LEN(TRIM(G24))=0,"Approved","Comment to address")</f>
        <v/>
      </c>
      <c r="B24" s="10" t="inlineStr">
        <is>
          <t>Havdalah</t>
        </is>
      </c>
      <c r="C24" s="10" t="inlineStr">
        <is>
          <t>Ashkenaz</t>
        </is>
      </c>
      <c r="D24" s="11" t="inlineStr">
        <is>
          <t>הִנֵּה אֵל יְשׁוּעָתִי אֶבְטַח וְלֹא אֶפְחָד כִּי עָזִּי וְזִמְרָת יָהּ יי וַיְהִי לִי לִישׁוּעָה:
וּשְׁאַבְתֶּם מַיִם בְּשָׂשׂוֹן מִמַּעַיְנֵי הַיְשׁוּעָה:
לַיי הַיְשׁוּעָה עַל עַמְּךָ בִרְכָתֶךָ סֶּלָה:
יי צְבָאוֹת עִמָּנוּ מִשְׂגָּב לָנוּ אֱלֹהֵי יַעֲקֹב סֶלָה:
יי צְבָאוֹת, אַשְׁרֵי אָדָם בֹּוטֵחַ בָּךְ:
יי הוֹשִׁיעָה, הַמֶּלֶךְ יַעֲנֵנוּ בְיוֹם קָרְאֵנו:
לַיְּהוּדִים הָיְתָה אוֹרָה וְשִׂמְחָה וְשָׂשֹׂן וִיקָר:
כן תהיה לנו:
כּוֹס יְשׁוּעוֹת אֶשָּׂא וּבְשֵׁם יי אֶקְרָא:
בָּרוּךְ אַתָּה יי אֱלֹהֵינוּ מֶלֶךְ הָעוֹלָם, בּוֹרֵא פְּרִי הַגָּפֶן:
בָּרוּךְ אַתָּה יי אֱלֹהֵינוּ מֶלֶךְ הָעוֹלָם, בּוֹרֵא מִינֵי בְשָׂמִים:
בָּרוּךְ אַתָּה יי אֱלֹהֵינוּ מֶלֶךְ הָעוֹלָם, בּוֹרֵא מְאוֹרֵי הָאֵשׁ:
בָּרוּךְ אַתָּה יי אֱלֹהֵינוּ מֶלֶךְ הָעוֹלָם, הַמַּבְדִּיל בֵּין קֹדֶשׁ לְחוֹל, בֵּין אוֹר לְחֹשֶׁךְ, בֵּין יִשְׂרָאֵל לָעַמִּים, בֵּין יוֹם הַשְּׁבִיעִי לְשֵׁשֶׁת יְמֵי הַמַּעֲשֶׂה, בָּרוּךְ אַתָּה יי, הַמַּבְדִּיל בֵּין קֹדֶשׁ לְחוֹל:</t>
        </is>
      </c>
      <c r="E24" s="10" t="inlineStr">
        <is>
          <t>Only the concluding blessing is bundled.</t>
        </is>
      </c>
      <c r="F24" s="12" t="inlineStr">
        <is>
          <t>Siddur Ashkenaz, Shabbat, Havdalah — Daat Siddur Ashkenaz
License: Public Domain</t>
        </is>
      </c>
      <c r="G24" s="9" t="inlineStr"/>
      <c r="H24" s="10" t="inlineStr">
        <is>
          <t>havdalah</t>
        </is>
      </c>
    </row>
    <row r="25" ht="62" customHeight="1">
      <c r="A25" s="5">
        <f>IF(LEN(TRIM(G25))=0,"Approved","Comment to address")</f>
        <v/>
      </c>
      <c r="B25" s="6" t="inlineStr">
        <is>
          <t>Shabbat Candle Lighting</t>
        </is>
      </c>
      <c r="C25" s="6" t="inlineStr">
        <is>
          <t>Common</t>
        </is>
      </c>
      <c r="D25" s="7" t="inlineStr">
        <is>
          <t>בָּרוּךְ אַתָּה יְהֹוָה אֱלֹהֵינוּ מֶלֶךְ הָעוֹלָם, אֲשֶׁר קִדְּשָׁנוּ בְּמִצְוֹתָיו וְצִוָּנוּ לְהַדְלִיק נֵר שֶׁל שַׁבָּת:</t>
        </is>
      </c>
      <c r="E25" s="6" t="inlineStr">
        <is>
          <t>No special note.</t>
        </is>
      </c>
      <c r="F25" s="8" t="inlineStr">
        <is>
          <t>Siddur Sefard, Shabbat Candle Lighting — Torat Emet 357
License: Public Domain</t>
        </is>
      </c>
      <c r="G25" s="9" t="inlineStr"/>
      <c r="H25" s="6" t="inlineStr">
        <is>
          <t>candle-lighting</t>
        </is>
      </c>
    </row>
    <row r="26" ht="286" customHeight="1">
      <c r="A26" s="5">
        <f>IF(LEN(TRIM(G26))=0,"Approved","Comment to address")</f>
        <v/>
      </c>
      <c r="B26" s="10" t="inlineStr">
        <is>
          <t>Chanukah Candle Blessings</t>
        </is>
      </c>
      <c r="C26" s="10" t="inlineStr">
        <is>
          <t>Ashkenaz</t>
        </is>
      </c>
      <c r="D26" s="11" t="inlineStr">
        <is>
          <t>בָּרוּךְ אַתָּה יְיָ אֱלֹהֵינוּ מֶלֶךְ הָעוֹלָם
אֲשֶׁר קִדְּשָׁנוּ בְּמִצְוֹתָיו וְצִוָּנוּ לְהַדְלִיק נֵר חֲנֻכָּה.
בָּרוּךְ אַתָּה יְיָ אֱלֹהֵינוּ מֶלֶךְ הָעוֹלָם
שֶׁעָשָׂה נִסִּים לַאֲבוֹתֵינוּ בַּיָּמִים הָהֵם בַּזְּמַן הַזֶּה.
בלילה הראשון מוסיפים:
בָּרוּךְ אַתָּה יְיָ אֱלֹהֵינוּ מֶלֶךְ הָעוֹלָם
שֶׁהֶחֱיָנוּ וְקִיְּמָנוּ וְהִגִּיעָנוּ לַזְּמַן הַזֶּה.</t>
        </is>
      </c>
      <c r="E26" s="10" t="inlineStr">
        <is>
          <t>No Hebrew text is currently bundled.</t>
        </is>
      </c>
      <c r="F26" s="12" t="inlineStr">
        <is>
          <t>Siddur Ashkenaz, Festivals, Chanukah, Service for Lighting Chanukah Candles, Blessings on Chanukah Candles — Daat Siddur Ashkenaz
License: Public Domain</t>
        </is>
      </c>
      <c r="G26" s="9" t="inlineStr"/>
      <c r="H26" s="10" t="inlineStr">
        <is>
          <t>chanukah-candles</t>
        </is>
      </c>
    </row>
    <row r="27" ht="409" customHeight="1">
      <c r="A27" s="5">
        <f>IF(LEN(TRIM(G27))=0,"Approved","Comment to address")</f>
        <v/>
      </c>
      <c r="B27" s="6" t="inlineStr">
        <is>
          <t>Counting the Omer</t>
        </is>
      </c>
      <c r="C27" s="6" t="inlineStr">
        <is>
          <t>Varies</t>
        </is>
      </c>
      <c r="D27" s="7" t="inlineStr">
        <is>
          <t>בָּרוּךְ אַתָּה יְהֹוָה, אֱלֹהֵֽינוּ מֶֽלֶךְ הָעוֹלָם, אֲשֶׁר קִדְּשָֽׁנוּ בְּמִצְוֹתָיו וְצִוָּֽנוּ עַל סְפִירַת הָעֹֽמֶר: הַיּוֹם
יוֹם אֶחָד לָעֹֽמֶר:
שְׁנֵי יָמִים לָעֹֽמֶר:
שְׁלֹשָׁה יָמִים לָעֹֽמֶר:
אַרְבָּעָה יָמִים לָעֹֽמֶר:
חֲמִשָּׁה יָמִים לָעֹֽמֶר:
שִׁשָּׁה יָמִים לָעֹֽמֶר:
שִׁבְעָה יָמִים לָעֹֽמֶר, שֶׁהֵם שָׁבֽוּעַ אֶחָד:
שְׁמוֹנָה יָמִים לָעֹֽמֶר, שֶׁהֵם שָׁבֽוּעַ אֶחָד וְיוֹם אֶחָד:
תִּשְׁעָה יָמִים לָעֹֽמֶר, שֶׁהֵם שָׁבֽוּעַ אֶחָד וּשְׁנֵי יָמִים:
עֲשָׂרָה יָמִים לָעֹֽמֶר, שֶׁהֵם שָׁבֽוּעַ אֶחָד וּשְׁלֹשָׁה יָמִים:
אַחַד עָשָׂר יוֹם לָעֹֽמֶר, שֶׁהֵם שָׁבֽוּעַ אֶחָד וְאַרְבָּעָה יָמִים:
שְׁנֵים עָשָׂר יוֹם לָעֹֽמֶר, שֶׁהֵם שָׁבֽוּעַ אֶחָד וַחֲמִשָּׁה יָמִים:
שְׁלֹשָׁה עָשָׂר יוֹם לָעֹֽמֶר, שֶׁהֵם שָׁבֽוּעַ אֶחָד וְשִׁשָּׁה יָמִים:
אַרְבָּעָה עָשָׂר יוֹם לָעֹֽמֶר, שֶׁהֵם שְׁנֵי שָׁבוּעוֹת:
חֲמִשָּׁה עָשָׂר יוֹם לָעֹֽמֶר, שֶׁהֵם שְׁנֵי שָׁבוּעוֹת ויוֹם אֶחָד:
שִׁשָּׁה עָשָׂר יוֹם לָעֹֽמֶר, שֶׁהֵם שְׁנֵי שָׁבוּעוֹת וּשְׁנֵי יָמִים:
שִׁבְעָה עָשָׂר יוֹם לָעֹֽמֶר, שֶׁהֵם שְׁנֵי שָׁבוּעוֹת וּשְׁלֹשָׁה יָמִים:
שְׁמוֹנָה עָשָׂר יוֹם לָעֹֽמֶר, שֶׁהֵם שְׁנֵי שָׁבוּעוֹת וְאַרְבָּעָה יָמִים:
תִּשְׁעָה עָשָׂר יוֹם לָעֹֽמֶר, שֶׁהֵם שְׁנֵי שָׁבוּעוֹת וַחֲמִשָּׁה יָמִים:
עֶשְׂרִים יוֹם לָעֹֽמֶר, שֶׁהֵם שְׁנֵי שָׁבוּעוֹת וְשִׁשָּׁה יָמִים:
אֶחָד וְעֶשְׂרִים יוֹם לָעֹֽמֶר, שֶׁהֵם שְׁלֹשָׁה שָׁבוּעוֹת:
שְׁנַיִם וְעֶשְׂרִים יוֹם לָעֹֽמֶר, שֶׁהֵם שְׁלֹשָׁה שָׁבוּעוֹת וְיוֹם אֶחָד:
שְׁלֹשָׁה וְעֶשְׂרִים יוֹם לָעֹֽמֶר, שֶׁהֵם שְׁלֹשָׁה שָׁבוּעוֹת וּשְׁנֵי יָמִים:
אַרְבָּעָה וְעֶשְׂרִים יוֹם לָעֹֽמֶר, שֶׁהֵם שְׁלֹשָׁה שָׁבוּעוֹת וּשְׁלֹשָׁה יָמִים:
חֲמִשָּׁה וְעֶשְׂרִים יוֹם לָעֹֽמֶר, שֶׁהֵם שְׁלֹשָׁה שָׁבוּעוֹת וְאַרְבָּעָה יָמִים:
שִׁשָּׁה וְעֶשְׂרִים יוֹם לָעֹֽמֶר, שֶׁהֵם שְׁלֹשָׁה שָׁבוּעוֹת וַחֲמִשָּׁה יָמִים:
שִׁבְעָה וְעֶשְׂרִים יוֹם לָעֹֽמֶר, שֶׁהֵם שְׁלֹשָׁה שָׁבוּעוֹת וְשִׁשָּׁה יָמִים:
שְׁמוֹנָה וְעֶשְׂרִים יוֹם לָעֹֽמֶר, שֶׁהֵם אַרְבָּעָה שָׁבוּעוֹת:
תִּשְׁעָה וְעֶשְׂרִים יוֹם לָעֹֽמֶר, שֶׁהֵם אַרְבָּעָה שָׁבוּעוֹת וְיוֹם אֶחָד:
שְׁלֹשִׁים יוֹם לָעֹֽמֶר, שֶׁהֵם אַרְבָּעָה שָׁבוּעוֹת וּשְׁנֵי יָמִים:
אֶחָד וּשְׁלֹשִׁים יוֹם לָעֹֽמֶר, שֶׁהֵם אַרְבָּעָה שָׁבוּעוֹת וּשְׁלֹשָׁה יָמִים:
שְׁנַיִם וּשְׁלֹשִׁים יוֹם לָעֹֽמֶר, שֶׁהֵם אַרְבָּעָה שָׁבוּעוֹת וְאַרְבָּעָה יָמִים:
שְׁלֹשָׁה וּשְׁלֹשִׁים יוֹם לָעֹֽמֶר, שֶׁהֵם אַרְבָּעָה שָׁבוּעוֹת וַחֲמִשָּׁה יָמִים:
אַרְבָּעָה וּשְׁלֹשִׁים יוֹם לָעֹֽמֶר, שֶׁהֵם אַרְבָּעָה שָׁבוּעוֹת וְשִׁשָּׁה יָמִים:
חֲמִשָּׁה וּשְׁלֹשִׁים יוֹם לָעֹֽמֶר, שֶׁהֵם חֲמִשָּׁה שָׁבוּעוֹת:
שִׁשָּׁה וּשְׁלֹשִׁים יוֹם לָעֹֽמֶר, שֶׁהֵם חֲמִשָּׁה שָׁבוּעוֹת וְיוֹם אֶחָד:
שִׁבְעָה וּשְׁלֹשִׁים יוֹם לָעֹֽמֶר, שֶׁהֵם חֲמִשָּׁה שָׁבוּעוֹת וּשְׁנֵי יָמִים:
שְׁמוֹנָה וּשְׁלֹשִׁים יוֹם לָעֹֽמֶר, שֶׁהֵם חֲמִשָּׁה שָׁבוּעוֹת וּשְׁלֹשָׁה יָמִים:
תִּשְׁעָה וּשְׁלֹשִׁים יוֹם לָעֹֽמֶר, שֶׁהֵם חֲמִשָּׁה שָׁבוּעוֹת וְאַרְבָּעָה יָמִים:
אַרְבָּעִים יוֹם לָעֹֽמֶר, שֶׁהֵם חֲמִשָּׁה שָׁבוּעוֹת וַחֲמִשָּׁה יָמִים:
אֶחָד וְאַרְבָּעִים יוֹם לָעֹֽמֶר, שֶׁהֵם חֲמִשָּׁה שָׁבוּעוֹת וְשִׁשָּׁה יָמִים:
שְׁנַיִם וְאַרְבָּעִים יוֹם לָעֹֽמֶר, שֶׁהֵם שִׁשָּׁה שָׁבוּעוֹת:
שְׁלֹשָׁה וְאַרְבָּעִים יוֹם לָעֹֽמֶר, שֶׁהֵם שִׁשָּׁה שָׁבוּעוֹת וְיוֹם אֶחָד:
אַרְבָּעָה וְאַרְבָּעִים יוֹם לָעֹֽמֶר, שֶׁהֵם שִׁשָּׁה שָׁבוּעוֹת וּשְׁנֵי יָמִים:
חֲמִשָּׁה וְאַרְבָּעִים יוֹם לָעֹֽמֶר, שֶׁהֵם שִׁשָּׁה שָׁבוּעוֹת וּשְׁלֹשָׁה יָמִים:
שִׁשָּׁה וְאַרְבָּעִים יוֹם לָעֹֽמֶר, שֶׁהֵם שִׁשָּׁה שָׁבוּעוֹת וְאַרְבָּעָה יָמִים:
שִׁבְעָה וְאַרְבָּעִים יוֹם לָעֹֽמֶר, שֶׁהֵם שִׁשָּׁה שָׁבוּעוֹת וַחֲמִשָּׁה יָמִים:
שְׁמוֹנָה וְאַרְבָּעִים יוֹם לָעֹֽמֶר, שֶׁהֵם שִׁשָּׁה שָׁבוּעוֹת וְשִׁשָּׁה יָמִים:
תִּשְׁעָה וְאַרְבָּעִים יוֹם לָעֹֽמֶר, שֶׁהֵם שִׁבְעָה שָׁבוּעוֹת:
הָרַחֲמָן הוּא יַחֲזִיר עֲבוֹדַת בֵּית הַמִּקְדָּשׁ לִמְקוֹמָהּ בִּמְהֵרָה בְיָמֵֽינוּ אָמֵן:</t>
        </is>
      </c>
      <c r="E27" s="6" t="inlineStr">
        <is>
          <t>No Hebrew text is currently bundled.</t>
        </is>
      </c>
      <c r="F27" s="8" t="inlineStr">
        <is>
          <t>Siddur Edot HaMizrach, Counting of the Omer —  Shaliehsaboo Edition
License: CC0</t>
        </is>
      </c>
      <c r="G27" s="9" t="inlineStr"/>
      <c r="H27" s="6" t="inlineStr">
        <is>
          <t>counting-omer</t>
        </is>
      </c>
    </row>
    <row r="28" ht="304" customHeight="1">
      <c r="A28" s="5">
        <f>IF(LEN(TRIM(G28))=0,"Approved","Comment to address")</f>
        <v/>
      </c>
      <c r="B28" s="10" t="inlineStr">
        <is>
          <t>Vidui</t>
        </is>
      </c>
      <c r="C28" s="10" t="inlineStr">
        <is>
          <t>Ashkenaz</t>
        </is>
      </c>
      <c r="D28" s="11" t="inlineStr">
        <is>
          <t>אֱלֺהֵֽינוּ וֵאלֺהֵי אֲבוֹתֵֽינוּ תָּבֹא לְפָנֶֽיךָ תְּפִלָּֽתֵֽנוּ, וְאַל־תִּתְעַלַּם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t>
        </is>
      </c>
      <c r="E28" s="10" t="inlineStr">
        <is>
          <t>Only the opening five words of Ashamnu are bundled.</t>
        </is>
      </c>
      <c r="F28" s="12" t="inlineStr">
        <is>
          <t>Siddur Ashkenaz, Weekday, Shacharit, Post Amidah, Vidui and 13 Middot — The Metsudah siddur, 1981
License: CC-BY</t>
        </is>
      </c>
      <c r="G28" s="9" t="inlineStr"/>
      <c r="H28" s="10" t="inlineStr">
        <is>
          <t>vidui</t>
        </is>
      </c>
    </row>
    <row r="29" ht="409" customHeight="1">
      <c r="A29" s="5">
        <f>IF(LEN(TRIM(G29))=0,"Approved","Comment to address")</f>
        <v/>
      </c>
      <c r="B29" s="6" t="inlineStr">
        <is>
          <t>Prayer for Livelihood</t>
        </is>
      </c>
      <c r="C29" s="6" t="inlineStr">
        <is>
          <t>Sefard</t>
        </is>
      </c>
      <c r="D29" s="7" t="inlineStr">
        <is>
          <t>אַתָּה הוּא יְהֹוָה לְבַדֶּךָ אַתָּה עָשִׂיתָ אֶת הַשָּׁמַיִם וּשְׁמֵי הַשָּׁמַיִם הָאָרֶץ וְכָל אֲשֶׁר עָלֶיהָ הַיַּמִים וְכָל אֲשֶׁר בָּהֶם וְאַתָּה מְחַיֶּה אֶת כֻּלָּם וְאַתָּה הוּא שֶׁעָשִׂיתָ נִסִּים וְנִפְלָאוֹת גְּדוֹלוֹת תָּמִיד עִם אֲבוֹתֵינוּ גַּם בַּמִּדְבָּר הִמְטַרְתָּ לָהֶם לֶחֶם מִן הַשָּׁמַיִם וּמִצּוּר הַחַלָּמִישׁ הוֹצֵאתָ לָהֶם מַיִם וְגַם נָתַתָּ לָהֶם כָּל צָרְכֵיהֶם שִׂמְלוֹתָם לֹא בָלְתָה מֵעֲלֵיהֶם כֵּן בְּרַחֲמֶיךָ הָרַבִּים וּבַחֲסָדֶיךָ הָעֲצוּמִים תְּזוּנֵנוּ וּתְפַרְנְסֵנוּ וּתְכַלְכְּלֵנוּ וְתַסְפִּיק לָנוּ כָּל צָרְכֵנוּ וְצָרְכֵי עַמְּךָ בֵּית יִשְׂרָאֵל הַמְרוּבִּים בְּמִלּוּי וּבְרֶוַח בְּלִי טֹרַח וְעָמָל גָּדוֹל מִתַּחַת יָדְךָ הַנְּקִיָּה וְלֹא מִתַּחַת יְדֵי בָשָׂר וָדָם:
יְהִי רָצוֹן מִלְּפָנֶיךָ יְהֹוָה אֱלֹהַי וֵאלֹהֵי אֲבוֹתַי שֶׁתָּכִין לִי וּלְאַנְשֵׁי בֵיתִי כָּל מַחֲסוֹרֵנוּ וְתַזְמִין לָנוּ כָּל צָרְכֵנוּ לְכָל יוֹם וָיּוֹם מֵחַיֵּינוּ דֵי מַחֲסוֹרֵנוּ וּלְכָל שָׁעָה וְשָׁעָה מִשָּׁעוֹתֵינוּ דֵי סִפּוּקֵנוּ וּלְכָל עֶצֶם מֵעֲצָמֵינוּ דֵי מִחְיָתֵנוּ מִיָּדְךָ הַטוֹבָה וְהָרְחָבָה וְלֹא כְּמִעוּט מִפְעָלֵינוּ וְקוֹצֶר חֲסָדֵינוּ וּמִזְעֵיר גְּמוּלוֹתֵינוּ וְיִהְיוּ מְזוֹנוֹתַי וּמְזוֹנוֹת אַנְשֵׁי בֵיתִי וְזַרְעִי וְזֶרַע זַרְעִי מְסוּרִים בְּיָדְךָ וְלֹא בְּיַד בָּשָׂר וָדָם:</t>
        </is>
      </c>
      <c r="E29" s="6" t="inlineStr">
        <is>
          <t>No Hebrew text is currently bundled.</t>
        </is>
      </c>
      <c r="F29" s="8" t="inlineStr">
        <is>
          <t>Siddur Sefard, Various Prayers &amp; Segulot, Prayer for Livelihood — Torat Emet 357
License: Public Domain</t>
        </is>
      </c>
      <c r="G29" s="9" t="inlineStr"/>
      <c r="H29" s="6" t="inlineStr">
        <is>
          <t>prayer-for-livelihood</t>
        </is>
      </c>
    </row>
    <row r="30" ht="160" customHeight="1">
      <c r="A30" s="5">
        <f>IF(LEN(TRIM(G30))=0,"Approved","Comment to address")</f>
        <v/>
      </c>
      <c r="B30" s="10" t="inlineStr">
        <is>
          <t>Ana Bekoach</t>
        </is>
      </c>
      <c r="C30" s="10" t="inlineStr">
        <is>
          <t>Common</t>
        </is>
      </c>
      <c r="D30" s="11" t="inlineStr">
        <is>
          <t>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t>
        </is>
      </c>
      <c r="E30" s="10" t="inlineStr">
        <is>
          <t>Only the first line is bundled.</t>
        </is>
      </c>
      <c r="F30" s="12" t="inlineStr">
        <is>
          <t>Siddur Ashkenaz, Shabbat, Kabbalat Shabbat, Ana Bekoach — The Metsudah siddur, 1981
License: CC-BY</t>
        </is>
      </c>
      <c r="G30" s="9" t="inlineStr"/>
      <c r="H30" s="10" t="inlineStr">
        <is>
          <t>ana-bekoach</t>
        </is>
      </c>
    </row>
    <row r="31" ht="409" customHeight="1">
      <c r="A31" s="5">
        <f>IF(LEN(TRIM(G31))=0,"Approved","Comment to address")</f>
        <v/>
      </c>
      <c r="B31" s="6" t="inlineStr">
        <is>
          <t>Nishmat Kol Chai</t>
        </is>
      </c>
      <c r="C31" s="6" t="inlineStr">
        <is>
          <t>Ashkenaz</t>
        </is>
      </c>
      <c r="D31" s="7" t="inlineStr">
        <is>
          <t>נִשְׁמַת כָּל חַי תְּבָרֵךְ אֶת שִׁמְךָ ה' אֱלהֵינוּ. וְרוּחַ כָּל בָּשר תְּפָאֵר וּתְרומֵם זִכְרְךָ מַלְכֵּנוּ תָּמִיד: מִן הָעולָם וְעַד הָעולָם אַתָּה אֵל. וּמִבַּלְעָדֶיךָ אֵין לָנוּ מֶלֶךְ גּואֵל וּמושִׁיעַ. פּודֶה וּמַצִּיל וּמְפַרְנֵס וּמְרַחֵם בְּכָל עֵת צָרָה וְצוּקָה. אֵין לָנוּ מֶלֶךְ עוזֵר וְסומֵךְ אֶלָּא אָתָּה: אֱלהֵי הָרִאשׁונִים וְהָאַחֲרונִים. אֱלוהַּ כָּל בְּרִיות. אֲדון כָּל תּולָדות. הַמְּהֻלָּל בְּרוב הַתִּשְׁבָּחות. הַמְּנַהֵג עולָמו בְּחֶסֶד וּבְרִיּותָיו בְּרַחֲמִים: וה' לא יָנוּם וְלא יִישָׁן. הַמְעורֵר יְשֵׁנִים. וְהַמֵּקִיץ נִרְדָּמִים. וְהַמֵּשיחַ אִלְמִים. וְהַמַּתִּיר אֲסוּרִים. וְהַסּומֵךְ נופְלִים. וְהַזּוקֵף כְּפוּפִים. לְךָ לְבַדְּךָ אֲנַחְנוּ מודִים: אִלּוּ פִינוּ מָלֵא שִׁירָה כַּיָּם. וּלְשׁונֵנוּ רִנָּה כַּהֲמון גַּלָּיו. וְשפְתותֵינוּ שֶׁבַח כְּמֶרְחֲבֵי רָקִיעַ. וְעֵינֵינוּ מְאִירות כַּשֶּׁמֶשׁ וְכַיָּרֵחַ. וְיָדֵינוּ פְרוּשות כְּנִשְׁרֵי שָׁמָיִם. וְרַגְלֵינוּ קַלּות כָּאַיָּלות. אֵין אֲנַחְנוּ מַסְפִּיקִים לְהודות לְךָ ה' אֱלהֵינוּ וֵאלהֵי אֲבותֵינוּ. וּלְבָרֵךְ אֶת שְׁמֶךָ עַל אַחַת מֵאֶלֶף אַלְפֵי אֲלָפִים וְרִבֵּי רְבָבות פְּעָמִים. הַטּובות שֶׁעָשיתָ עִם אֲבותֵינוּ וְעִמָּנוּ: מִמִּצְרַיִם גְּאַלְתָּנוּ ה' אֱלהֵינוּ. וּמִבֵּית עֲבָדִים פְּדִיתָנוּ. בְּרָעָב זַנְתָּנוּ. וּבְשבָע כִּלְכַּלְתָּנוּ. מֵחֶרֶב הִצַּלְתָּנוּ. וּמִדֶּבֶר מִלַּטְתָּנוּ. וּמֵחֳלָיִם רָעִים וְנֶאֱמָנִים דִּלִּיתָנוּ: עַד הֵנָּה עֲזָרוּנוּ רַחֲמֶיךָ. וְלא עֲזָבוּנוּ חֲסָדֶיךָ וְאַל תִּטְּשֵׁנוּ ה' אֱלהֵינוּ לָנֶצַח: עַל כֵּן אֵבָרִים שֶׁפִּלַּגְתָּ בָּנוּ. וְרוּחַ וּנְשָׁמָה שֶׁנָּפַחְתָּ בְּאַפֵּינוּ. וְלָשׁון אֲשֶׁר שמְתָּ בְּפִינוּ. הֵן הֵם. יודוּ וִיבָרְכוּ וִישַׁבְּחוּ וִיפָאֲרוּ וִירומְמוּ וְיַעֲרִיצוּ וְיַקְדִּישׁוּ וְיַמְלִיכוּ אֶת שִׁמְךָ מַלְכֵּנוּ: כִּי כָל פֶּה לְךָ יודֶה. וְכָל לָשׁון לְךָ תִשָּׁבַע. וְכָל בֶּרֶךְ לְךָ תִכְרַע. וְכָל קומָה לְפָנֶיךָ תִשְׁתַּחֲוֶה. וְכָל לְּבָבות יִירָאוּךָ. וְכָל קֶרֶב וּכְלָיות יְזַמְּרוּ לִשְׁמֶךָ. כַּדָּבָר שֶׁכָּתוּב. כָּל עַצְמותַי תּאמַרְנָה ה' מִי כָמוךָ. מַצִּיל עָנִי מֵחָזָק מִמֶּנּוּ. וְעָנִי וְאֶבְיון מִגּוזְלו. מִי יִדְמֶה לָּךְ. וּמִי יִשְׁוֶה לָּךְ. וּמִי יַעֲרָךְ לָךְ. הָאֵל הַגָּדול הַגִּבּור וְהַנּורָא אֵל עֶלְיון. קונֵה שָׁמַיִם וָאָרֶץ: נְהַלֶּלְךָ וּנְשַׁבֵּחֲךָ וּנְפָאֶרְךָ וּנְבָרֵךְ אֶת שֵׁם קָדְשֶׁךָ. כָּאָמוּר, לְדָוִד, בָּרְכִי נַפְשִׁי אֶת ה'. וְכָל קְרָבַי אֶת שֵׁם קָדְשׁו:</t>
        </is>
      </c>
      <c r="E31" s="6" t="inlineStr">
        <is>
          <t>Only the opening phrase is bundled.</t>
        </is>
      </c>
      <c r="F31" s="8" t="inlineStr">
        <is>
          <t>Siddur Ashkenaz, Shabbat, Shacharit, Pesukei Dezimra, Nishmat Kol Chai — Daat Siddur Ashkenaz
License: Public Domain</t>
        </is>
      </c>
      <c r="G31" s="9" t="inlineStr"/>
      <c r="H31" s="6" t="inlineStr">
        <is>
          <t>nishmat</t>
        </is>
      </c>
    </row>
    <row r="32" ht="409" customHeight="1">
      <c r="A32" s="5">
        <f>IF(LEN(TRIM(G32))=0,"Approved","Comment to address")</f>
        <v/>
      </c>
      <c r="B32" s="10" t="inlineStr">
        <is>
          <t>Prayer for the State of Israel</t>
        </is>
      </c>
      <c r="C32" s="10" t="inlineStr">
        <is>
          <t>Modern Israeli</t>
        </is>
      </c>
      <c r="D32" s="11" t="inlineStr">
        <is>
          <t>אָבִינוּ שֶׁבַּשָּׁמַיִם,
צוּר יִשְׂרָאֵל וְגוֹאֲלוֹ,
בָּרֵךְ אֶת מְדִינַת יִשְׂרָאֵל,
רֵאשִׁית צְמִיחַת גְּאֻלָּתֵנוּ.
הָגֵן עָלֶיהָ בְּאֶבְרַת חַסְדֶּךָ,
וּפְרֹשׂ עָלֶיהָ סֻכַּת שְׁלוֹמֶךָ,
וּשְׁלַח אוֹרְךָ וַאֲמִתְּךָ לְרָאשֶׁיהָ, שָׂרֶיהָ וְיוֹעֲצֶיהָ,
וְתַקְּנֵם בְּעֵצָה טוֹבָה מִלְּפָנֶיךָ.
חַזֵּק אֶת יְדֵי מְגִנֵּי אֶרֶץ קׇדְשֵׁנוּ,
וְהַנְחִילֵם אֱלֹהֵינוּ יְשׁוּעָה
וַעֲטֶרֶת נִצָּחוֹן תְּעַטְּרֵם,
וְנָתַתָּ שָׁלוֹם בָּאָרֶץ,
וְשִׂמְחַת עוֹלָם לְיוֹשְׁבֶיהָ.
וְאֶת אַחֵינוּ כָּל בֵּית יִשְׂרָאֵל,
פְּקׇד נָא בְּכָל אַרְצוֹת פְּזוּרֵיהֶם,
וְתוֹלִיכֵם מְהֵרָה קוֹמְמִיּוּת לְצִיּוֹן עִירֶךָ
וְלִירוּשָׁלַיִם מִשְׁכַּן שְׁמֶךָ,
כַּכָּתוּב בְּתוֹרַת מֹשֶׁה עַבְדֶּךְ (דברים ל,ד-ו):
"אִם יִהְיֶה נִדַּחֲךָ בִּקְצֵה הַשָּׁמָיִם,
מִשָּׁם יְקַבֶּצְךָ יְיָ אֱלֹהֶיךָ וּמִשָּׁם יִקָּחֶךָ.
וֶהֱבִיאֲךָ יְיָ אֱלֹהֶיךָ אֶל הָאָרֶץ אֲשֶׁר יָרְשׁוּ אֲבֹתֶיךָ וִירִשְׁתָּהּ,
וְהֵיטִבְךָ וְהִרְבְּךָ מֵאֲבֹתֶיךָ.
וּמָל יְיָ אֱלֹהֶיךָ אֶת לְבָבְךָ וְאֶת לְבַב זַרְעֶךָ,
לְאַהֲבָה אֶת יְיָ אֱלֹהֶיךָ בְּכׇל לְבָבְךָ וּבְכׇל נַפְשְׁךָ,
לְמַעַן חַיֶּיךָ".
וְיַחֵד לְבָבֵנוּ לְאַהֲבָה וּלְיִרְאָה אֶת שְׁמֶךָ,
וְלִשְׁמֹר אֶת כׇּל דִּבְרֵי תּוֹרָתֶךָ,
וּשְׁלַח לָנוּ מְהֵרָה בֶּן דָּוִד מְשִׁיחַ צִדְקֶךָ,
לִפְדּוֹת מְחַכֵּי קֵץ יְשׁוּעָתֶךָ.
הוֹפַע בַּהֲדַר גְּאוֹן עֻזֶּךָ
עַל כׇּל יוֹשְׁבֵי תֵּבֵל אַרְצֶךָ,
וְיֹאמַר כֹּל אֲשֶׁר נְשָׁמָה בְּאַפּוֹ:
"יְיָ אֱלֹהֵי יִשְׂרָאֵל מֶלֶךְ,
וּמַלְכוּתוֹ בַּכֹּל מָשָׁלָה!"
אָמֵן סֶלָה.</t>
        </is>
      </c>
      <c r="E32" s="10" t="inlineStr">
        <is>
          <t>Only the opening phrase is bundled.</t>
        </is>
      </c>
      <c r="F32" s="12" t="inlineStr">
        <is>
          <t>Siddur Ashkenaz, Shabbat, Shacharit, Communal Prayers, Prayer of the State of Israel — Daat Siddur Ashkenaz
License: Public Domain</t>
        </is>
      </c>
      <c r="G32" s="9" t="inlineStr"/>
      <c r="H32" s="10" t="inlineStr">
        <is>
          <t>prayer-state-israel</t>
        </is>
      </c>
    </row>
    <row r="33" ht="409" customHeight="1">
      <c r="A33" s="5">
        <f>IF(LEN(TRIM(G33))=0,"Approved","Comment to address")</f>
        <v/>
      </c>
      <c r="B33" s="6" t="inlineStr">
        <is>
          <t>Prayer for the IDF</t>
        </is>
      </c>
      <c r="C33" s="6" t="inlineStr">
        <is>
          <t>Modern Israeli</t>
        </is>
      </c>
      <c r="D33" s="7" t="inlineStr">
        <is>
          <t>מִי שֶׁבֵּרַךְ אֲבוֹתֵינוּ אַבְרָהָם יִצְחָק וְיַעֲקֹב
הוּא יְבָרֵךְ אֶת חַיָּלֵי צְבָא הֲגַנָּה לְיִשְׂרָאֵל
הָעוֹמְדִים עַל מִשְׁמַר אַרְצֵנוּ וְעָרֵי אֱלֹהֵינוּ
מִגְּבוּל הַלְּבָנוֹן וְעַד מִדְבַּר מִצְרַיִם
וּמִן הַיָּם הַגָּדוֹל עַד לְבוֹא הָעֲרָבָה בַּיַּבָּשָׁה בָּאֲוִיר וּבַיָּם
יִתֵּן ה' אֶת אוֹיְבֵינוּ הַקָּמִים עָלֵינוּ נִגָּפִים לִפְנֵיהֶם
הַקָּדוֹשׁ בָּרוּךְ הוּא יִשְׁמֹר וְיַצִּיל אֶת חַיָלֵינוּ מִכָּל צָרָה וְצוּקָה וּמִכָּל נֶגַע וּמַחֲלָה
וְיִשְׁלַח בְּרָכָה וְהַצְלָחָה בְּכָל מַעֲשֵׂה יְדֵיהֶם
יַדְבֵּר שׂוֹנְאֵינוּ תַּחְתֵּיהֶם וִיעַטְרֵם בְּכֶתֶר יְשׁוּעָה וּבְעֲטֶרֶת נִצָּחוֹן
וִיקֻיַּם בָּהֶם הַכָּתוּב:
כִּי ה' אֱלֹהֵיכֶם הַהֹלֵךְ עִמָּכֶם לְהִלָּחֵם לָכֶם עִם אֹיְבֵיכֶם לְהוֹשִׁיעַ אֶתְכֶם
וְנֹאמַר אָמֵן</t>
        </is>
      </c>
      <c r="E33" s="6" t="inlineStr">
        <is>
          <t>The bundled wording is an unreviewed paraphrased excerpt.</t>
        </is>
      </c>
      <c r="F33" s="8" t="inlineStr">
        <is>
          <t>Siddur Ashkenaz, Shabbat, Shacharit, Communal Prayers, Prayer for Israeli Soldiers — Daat Siddur Ashkenaz
License: Public Domain</t>
        </is>
      </c>
      <c r="G33" s="9" t="inlineStr"/>
      <c r="H33" s="6" t="inlineStr">
        <is>
          <t>idf-prayer</t>
        </is>
      </c>
    </row>
    <row r="34" ht="409" customHeight="1">
      <c r="A34" s="5">
        <f>IF(LEN(TRIM(G34))=0,"Approved","Comment to address")</f>
        <v/>
      </c>
      <c r="B34" s="10" t="inlineStr">
        <is>
          <t>El Malei Rachamim</t>
        </is>
      </c>
      <c r="C34" s="10" t="inlineStr">
        <is>
          <t>Varies</t>
        </is>
      </c>
      <c r="D34" s="11" t="inlineStr">
        <is>
          <t>לזכר:
אֵל מָלֵא רַחֲמִים שׁוֹכֵן בַּמְּרוֹמִים, הַמְצֵא מְנוּחָה נְכוֹנָה עַל כַּנְפֵי הַשְּׁכִינָה, בְּמַעֲלוֹת קְדוֹשִׁים וּטְהוֹרִים כְּזֹהַר הָרָקִיעַ מַזְהִירִים, אֶת נִשְׁמַת [שם] בֶּן [שם האב] שֶׁהָלַךְ לְעוֹלָמוֹ, בַּעֲבוּר שֶׁנָּדְבוּ צְדָקָה בְּעַד הַזְכָּרַת נִשְׁמָתוֹ, בְּגַן עֵדֶן תְּהֵא מְנוּחָתוֹ. לָכֵן בַּעַל הָרַחֲמִים יַסְתִּירֵהוּ בְּסֵתֶר כְּנָפָיו לְעוֹלָמִים, וְיִצְרֹר בִּצְרוֹר הַחַיִּים אֶת נִשְׁמָתוֹ, יְיָ הוּא נַחֲלָתוֹ, וְיָנוּחַ בְּשָׁלוֹם עַל מִשְׁכָּבוֹ, וְנֹאמַר אָמֵן.
לזכרה:
אֵל מָלֵא רַחֲמִים שׁוֹכֵן בַּמְּרוֹמִים, הַמְצֵא מְנוּחָה נְכוֹנָה עַל כַּנְפֵי הַשְּׁכִינָה, בְּמַעֲלוֹת קְדוֹשִׁים וּטְהוֹרִים כְּזֹהַר הָרָקִיעַ מַזְהִירִים, אֶת נִשְׁמַת [שם] בַּת [שם האב] שֶׁהָלְכָה לְעוֹלָמָהּ, בַּעֲבוּר שֶׁנָּדְבוּ צְדָקָה בְּעַד הַזְכָּרַת נִשְׁמָתָהּ, בְּגַן עֵדֶן תְּהֵא מְנוּחָתָהּ. לָכֵן בַּעַל הָרַחֲמִים יַסְתִּירֶהָ בְּסֵתֶר כְּנָפָיו לְעוֹלָמִים, וְיִצְרֹר בִּצְרוֹר הַחַיִּים אֶת נִשְׁמָתָהּ, יְיָ הוּא נַחֲלָתָהּ, וְתָנוּחַ בְּשָׁלוֹם עַל מִשְׁכָּבָהּ, וְנֹאמַר אָמֵן.</t>
        </is>
      </c>
      <c r="E34" s="10" t="inlineStr">
        <is>
          <t>The complete text requires a memorial-name form and communal variant.</t>
        </is>
      </c>
      <c r="F34" s="12" t="inlineStr">
        <is>
          <t>Wikisource: Siddur/Nusach Ashkenaz/Hazkarat Neshamot — Hebrew Wikisource, Nusach Ashkenaz
License: CC BY-SA 4.0</t>
        </is>
      </c>
      <c r="G34" s="9" t="inlineStr"/>
      <c r="H34" s="10" t="inlineStr">
        <is>
          <t>el-malei-rachamim</t>
        </is>
      </c>
    </row>
  </sheetData>
  <autoFilter ref="A4:H34">
    <filterColumn colId="0" hiddenButton="0" showButton="1">
      <filters blank="0">
        <filter val="Comment to address"/>
      </filters>
    </filterColumn>
  </autoFilter>
  <mergeCells count="3">
    <mergeCell ref="A3:H3"/>
    <mergeCell ref="A2:H2"/>
    <mergeCell ref="A1:H1"/>
  </mergeCell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1" r:id="rId17"/>
    <hyperlink xmlns:r="http://schemas.openxmlformats.org/officeDocument/2006/relationships" ref="F22" r:id="rId18"/>
    <hyperlink xmlns:r="http://schemas.openxmlformats.org/officeDocument/2006/relationships" ref="F23" r:id="rId19"/>
    <hyperlink xmlns:r="http://schemas.openxmlformats.org/officeDocument/2006/relationships" ref="F24" r:id="rId20"/>
    <hyperlink xmlns:r="http://schemas.openxmlformats.org/officeDocument/2006/relationships" ref="F25" r:id="rId21"/>
    <hyperlink xmlns:r="http://schemas.openxmlformats.org/officeDocument/2006/relationships" ref="F26" r:id="rId22"/>
    <hyperlink xmlns:r="http://schemas.openxmlformats.org/officeDocument/2006/relationships" ref="F27" r:id="rId23"/>
    <hyperlink xmlns:r="http://schemas.openxmlformats.org/officeDocument/2006/relationships" ref="F28" r:id="rId24"/>
    <hyperlink xmlns:r="http://schemas.openxmlformats.org/officeDocument/2006/relationships" ref="F29" r:id="rId25"/>
    <hyperlink xmlns:r="http://schemas.openxmlformats.org/officeDocument/2006/relationships" ref="F30" r:id="rId26"/>
    <hyperlink xmlns:r="http://schemas.openxmlformats.org/officeDocument/2006/relationships" ref="F31" r:id="rId27"/>
    <hyperlink xmlns:r="http://schemas.openxmlformats.org/officeDocument/2006/relationships" ref="F32" r:id="rId28"/>
    <hyperlink xmlns:r="http://schemas.openxmlformats.org/officeDocument/2006/relationships" ref="F33" r:id="rId29"/>
    <hyperlink xmlns:r="http://schemas.openxmlformats.org/officeDocument/2006/relationships" ref="F34" r:id="rId30"/>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2026-09-29T19:14:00Z</dcterms:created>
  <dcterms:modified xmlns:dcterms="http://purl.org/dc/terms/" xmlns:xsi="http://www.w3.org/2001/XMLSchema-instance" xsi:type="dcterms:W3CDTF">2026-09-29T19:14:00Z</dcterms:modified>
</cp:coreProperties>
</file>